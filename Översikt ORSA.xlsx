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45511</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45511</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45511</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45511</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45511</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45511</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45511</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45511</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45511</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45511</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45511</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45511</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48359-2023</t>
        </is>
      </c>
      <c r="B14" s="1" t="n">
        <v>45205</v>
      </c>
      <c r="C14" s="1" t="n">
        <v>45511</v>
      </c>
      <c r="D14" t="inlineStr">
        <is>
          <t>DALARNAS LÄN</t>
        </is>
      </c>
      <c r="E14" t="inlineStr">
        <is>
          <t>ORSA</t>
        </is>
      </c>
      <c r="F14" t="inlineStr">
        <is>
          <t>Allmännings- och besparingsskogar</t>
        </is>
      </c>
      <c r="G14" t="n">
        <v>9.6</v>
      </c>
      <c r="H14" t="n">
        <v>0</v>
      </c>
      <c r="I14" t="n">
        <v>3</v>
      </c>
      <c r="J14" t="n">
        <v>5</v>
      </c>
      <c r="K14" t="n">
        <v>1</v>
      </c>
      <c r="L14" t="n">
        <v>0</v>
      </c>
      <c r="M14" t="n">
        <v>0</v>
      </c>
      <c r="N14" t="n">
        <v>0</v>
      </c>
      <c r="O14" t="n">
        <v>6</v>
      </c>
      <c r="P14" t="n">
        <v>1</v>
      </c>
      <c r="Q14" t="n">
        <v>9</v>
      </c>
      <c r="R14" s="2" t="inlineStr">
        <is>
          <t>Smalfotad taggsvamp
Dvärgbägarlav
Garnlav
Kolflarnlav
Mörk kolflarnlav
Tallticka
Dropptaggsvamp
Mindre märgborre
Skinnlav</t>
        </is>
      </c>
      <c r="S14">
        <f>HYPERLINK("https://klasma.github.io/Logging_2034/artfynd/A 48359-2023 artfynd.xlsx", "A 48359-2023")</f>
        <v/>
      </c>
      <c r="T14">
        <f>HYPERLINK("https://klasma.github.io/Logging_2034/kartor/A 48359-2023 karta.png", "A 48359-2023")</f>
        <v/>
      </c>
      <c r="V14">
        <f>HYPERLINK("https://klasma.github.io/Logging_2034/klagomål/A 48359-2023 FSC-klagomål.docx", "A 48359-2023")</f>
        <v/>
      </c>
      <c r="W14">
        <f>HYPERLINK("https://klasma.github.io/Logging_2034/klagomålsmail/A 48359-2023 FSC-klagomål mail.docx", "A 48359-2023")</f>
        <v/>
      </c>
      <c r="X14">
        <f>HYPERLINK("https://klasma.github.io/Logging_2034/tillsyn/A 48359-2023 tillsynsbegäran.docx", "A 48359-2023")</f>
        <v/>
      </c>
      <c r="Y14">
        <f>HYPERLINK("https://klasma.github.io/Logging_2034/tillsynsmail/A 48359-2023 tillsynsbegäran mail.docx", "A 48359-2023")</f>
        <v/>
      </c>
    </row>
    <row r="15" ht="15" customHeight="1">
      <c r="A15" t="inlineStr">
        <is>
          <t>A 40213-2023</t>
        </is>
      </c>
      <c r="B15" s="1" t="n">
        <v>45169</v>
      </c>
      <c r="C15" s="1" t="n">
        <v>45511</v>
      </c>
      <c r="D15" t="inlineStr">
        <is>
          <t>DALARNAS LÄN</t>
        </is>
      </c>
      <c r="E15" t="inlineStr">
        <is>
          <t>ORSA</t>
        </is>
      </c>
      <c r="F15" t="inlineStr">
        <is>
          <t>Allmännings- och besparingsskogar</t>
        </is>
      </c>
      <c r="G15" t="n">
        <v>4.4</v>
      </c>
      <c r="H15" t="n">
        <v>0</v>
      </c>
      <c r="I15" t="n">
        <v>0</v>
      </c>
      <c r="J15" t="n">
        <v>7</v>
      </c>
      <c r="K15" t="n">
        <v>0</v>
      </c>
      <c r="L15" t="n">
        <v>0</v>
      </c>
      <c r="M15" t="n">
        <v>0</v>
      </c>
      <c r="N15" t="n">
        <v>0</v>
      </c>
      <c r="O15" t="n">
        <v>7</v>
      </c>
      <c r="P15" t="n">
        <v>0</v>
      </c>
      <c r="Q15" t="n">
        <v>7</v>
      </c>
      <c r="R15" s="2" t="inlineStr">
        <is>
          <t>Blågrå svartspik
Doftskinn
Garnlav
Granticka
Mörk kolflarnlav
Vedskivlav
Violettgrå tagellav</t>
        </is>
      </c>
      <c r="S15">
        <f>HYPERLINK("https://klasma.github.io/Logging_2034/artfynd/A 40213-2023 artfynd.xlsx", "A 40213-2023")</f>
        <v/>
      </c>
      <c r="T15">
        <f>HYPERLINK("https://klasma.github.io/Logging_2034/kartor/A 40213-2023 karta.png", "A 40213-2023")</f>
        <v/>
      </c>
      <c r="V15">
        <f>HYPERLINK("https://klasma.github.io/Logging_2034/klagomål/A 40213-2023 FSC-klagomål.docx", "A 40213-2023")</f>
        <v/>
      </c>
      <c r="W15">
        <f>HYPERLINK("https://klasma.github.io/Logging_2034/klagomålsmail/A 40213-2023 FSC-klagomål mail.docx", "A 40213-2023")</f>
        <v/>
      </c>
      <c r="X15">
        <f>HYPERLINK("https://klasma.github.io/Logging_2034/tillsyn/A 40213-2023 tillsynsbegäran.docx", "A 40213-2023")</f>
        <v/>
      </c>
      <c r="Y15">
        <f>HYPERLINK("https://klasma.github.io/Logging_2034/tillsynsmail/A 40213-2023 tillsynsbegäran mail.docx", "A 40213-2023")</f>
        <v/>
      </c>
    </row>
    <row r="16" ht="15" customHeight="1">
      <c r="A16" t="inlineStr">
        <is>
          <t>A 46984-2023</t>
        </is>
      </c>
      <c r="B16" s="1" t="n">
        <v>45201</v>
      </c>
      <c r="C16" s="1" t="n">
        <v>45511</v>
      </c>
      <c r="D16" t="inlineStr">
        <is>
          <t>DALARNAS LÄN</t>
        </is>
      </c>
      <c r="E16" t="inlineStr">
        <is>
          <t>ORSA</t>
        </is>
      </c>
      <c r="F16" t="inlineStr">
        <is>
          <t>Allmännings- och besparingsskogar</t>
        </is>
      </c>
      <c r="G16" t="n">
        <v>3.4</v>
      </c>
      <c r="H16" t="n">
        <v>2</v>
      </c>
      <c r="I16" t="n">
        <v>1</v>
      </c>
      <c r="J16" t="n">
        <v>5</v>
      </c>
      <c r="K16" t="n">
        <v>1</v>
      </c>
      <c r="L16" t="n">
        <v>0</v>
      </c>
      <c r="M16" t="n">
        <v>0</v>
      </c>
      <c r="N16" t="n">
        <v>0</v>
      </c>
      <c r="O16" t="n">
        <v>6</v>
      </c>
      <c r="P16" t="n">
        <v>1</v>
      </c>
      <c r="Q16" t="n">
        <v>7</v>
      </c>
      <c r="R16" s="2" t="inlineStr">
        <is>
          <t>Knärot
Garnlav
Kungsörn
Ullticka
Vedskivlav
Vitplätt
Dropptaggsvamp</t>
        </is>
      </c>
      <c r="S16">
        <f>HYPERLINK("https://klasma.github.io/Logging_2034/artfynd/A 46984-2023 artfynd.xlsx", "A 46984-2023")</f>
        <v/>
      </c>
      <c r="T16">
        <f>HYPERLINK("https://klasma.github.io/Logging_2034/kartor/A 46984-2023 karta.png", "A 46984-2023")</f>
        <v/>
      </c>
      <c r="U16">
        <f>HYPERLINK("https://klasma.github.io/Logging_2034/knärot/A 46984-2023 karta knärot.png", "A 46984-2023")</f>
        <v/>
      </c>
      <c r="V16">
        <f>HYPERLINK("https://klasma.github.io/Logging_2034/klagomål/A 46984-2023 FSC-klagomål.docx", "A 46984-2023")</f>
        <v/>
      </c>
      <c r="W16">
        <f>HYPERLINK("https://klasma.github.io/Logging_2034/klagomålsmail/A 46984-2023 FSC-klagomål mail.docx", "A 46984-2023")</f>
        <v/>
      </c>
      <c r="X16">
        <f>HYPERLINK("https://klasma.github.io/Logging_2034/tillsyn/A 46984-2023 tillsynsbegäran.docx", "A 46984-2023")</f>
        <v/>
      </c>
      <c r="Y16">
        <f>HYPERLINK("https://klasma.github.io/Logging_2034/tillsynsmail/A 46984-2023 tillsynsbegäran mail.docx", "A 46984-2023")</f>
        <v/>
      </c>
      <c r="Z16">
        <f>HYPERLINK("https://klasma.github.io/Logging_2034/fåglar/A 46984-2023 prioriterade fågelarter.docx", "A 46984-2023")</f>
        <v/>
      </c>
    </row>
    <row r="17" ht="15" customHeight="1">
      <c r="A17" t="inlineStr">
        <is>
          <t>A 707-2024</t>
        </is>
      </c>
      <c r="B17" s="1" t="n">
        <v>45300</v>
      </c>
      <c r="C17" s="1" t="n">
        <v>45511</v>
      </c>
      <c r="D17" t="inlineStr">
        <is>
          <t>DALARNAS LÄN</t>
        </is>
      </c>
      <c r="E17" t="inlineStr">
        <is>
          <t>ORSA</t>
        </is>
      </c>
      <c r="G17" t="n">
        <v>9.4</v>
      </c>
      <c r="H17" t="n">
        <v>2</v>
      </c>
      <c r="I17" t="n">
        <v>0</v>
      </c>
      <c r="J17" t="n">
        <v>7</v>
      </c>
      <c r="K17" t="n">
        <v>0</v>
      </c>
      <c r="L17" t="n">
        <v>0</v>
      </c>
      <c r="M17" t="n">
        <v>0</v>
      </c>
      <c r="N17" t="n">
        <v>0</v>
      </c>
      <c r="O17" t="n">
        <v>7</v>
      </c>
      <c r="P17" t="n">
        <v>0</v>
      </c>
      <c r="Q17" t="n">
        <v>7</v>
      </c>
      <c r="R17" s="2" t="inlineStr">
        <is>
          <t>Doftskinn
Garnlav
Granticka
Knottrig blåslav
Svartvit flugsnappare
Tretåig hackspett
Violettgrå tagellav</t>
        </is>
      </c>
      <c r="S17">
        <f>HYPERLINK("https://klasma.github.io/Logging_2034/artfynd/A 707-2024 artfynd.xlsx", "A 707-2024")</f>
        <v/>
      </c>
      <c r="T17">
        <f>HYPERLINK("https://klasma.github.io/Logging_2034/kartor/A 707-2024 karta.png", "A 707-2024")</f>
        <v/>
      </c>
      <c r="V17">
        <f>HYPERLINK("https://klasma.github.io/Logging_2034/klagomål/A 707-2024 FSC-klagomål.docx", "A 707-2024")</f>
        <v/>
      </c>
      <c r="W17">
        <f>HYPERLINK("https://klasma.github.io/Logging_2034/klagomålsmail/A 707-2024 FSC-klagomål mail.docx", "A 707-2024")</f>
        <v/>
      </c>
      <c r="X17">
        <f>HYPERLINK("https://klasma.github.io/Logging_2034/tillsyn/A 707-2024 tillsynsbegäran.docx", "A 707-2024")</f>
        <v/>
      </c>
      <c r="Y17">
        <f>HYPERLINK("https://klasma.github.io/Logging_2034/tillsynsmail/A 707-2024 tillsynsbegäran mail.docx", "A 707-2024")</f>
        <v/>
      </c>
      <c r="Z17">
        <f>HYPERLINK("https://klasma.github.io/Logging_2034/fåglar/A 707-2024 prioriterade fågelarter.docx", "A 707-2024")</f>
        <v/>
      </c>
    </row>
    <row r="18" ht="15" customHeight="1">
      <c r="A18" t="inlineStr">
        <is>
          <t>A 22647-2022</t>
        </is>
      </c>
      <c r="B18" s="1" t="n">
        <v>44714</v>
      </c>
      <c r="C18" s="1" t="n">
        <v>45511</v>
      </c>
      <c r="D18" t="inlineStr">
        <is>
          <t>DALARNAS LÄN</t>
        </is>
      </c>
      <c r="E18" t="inlineStr">
        <is>
          <t>ORSA</t>
        </is>
      </c>
      <c r="F18" t="inlineStr">
        <is>
          <t>Allmännings- och besparingsskogar</t>
        </is>
      </c>
      <c r="G18" t="n">
        <v>2.7</v>
      </c>
      <c r="H18" t="n">
        <v>1</v>
      </c>
      <c r="I18" t="n">
        <v>2</v>
      </c>
      <c r="J18" t="n">
        <v>3</v>
      </c>
      <c r="K18" t="n">
        <v>1</v>
      </c>
      <c r="L18" t="n">
        <v>0</v>
      </c>
      <c r="M18" t="n">
        <v>0</v>
      </c>
      <c r="N18" t="n">
        <v>0</v>
      </c>
      <c r="O18" t="n">
        <v>4</v>
      </c>
      <c r="P18" t="n">
        <v>1</v>
      </c>
      <c r="Q18" t="n">
        <v>6</v>
      </c>
      <c r="R18" s="2" t="inlineStr">
        <is>
          <t>Knärot
Dvärgbägarlav
Kolflarnlav
Vedskivlav
Dropptaggsvamp
Vedticka</t>
        </is>
      </c>
      <c r="S18">
        <f>HYPERLINK("https://klasma.github.io/Logging_2034/artfynd/A 22647-2022 artfynd.xlsx", "A 22647-2022")</f>
        <v/>
      </c>
      <c r="T18">
        <f>HYPERLINK("https://klasma.github.io/Logging_2034/kartor/A 22647-2022 karta.png", "A 22647-2022")</f>
        <v/>
      </c>
      <c r="U18">
        <f>HYPERLINK("https://klasma.github.io/Logging_2034/knärot/A 22647-2022 karta knärot.png", "A 22647-2022")</f>
        <v/>
      </c>
      <c r="V18">
        <f>HYPERLINK("https://klasma.github.io/Logging_2034/klagomål/A 22647-2022 FSC-klagomål.docx", "A 22647-2022")</f>
        <v/>
      </c>
      <c r="W18">
        <f>HYPERLINK("https://klasma.github.io/Logging_2034/klagomålsmail/A 22647-2022 FSC-klagomål mail.docx", "A 22647-2022")</f>
        <v/>
      </c>
      <c r="X18">
        <f>HYPERLINK("https://klasma.github.io/Logging_2034/tillsyn/A 22647-2022 tillsynsbegäran.docx", "A 22647-2022")</f>
        <v/>
      </c>
      <c r="Y18">
        <f>HYPERLINK("https://klasma.github.io/Logging_2034/tillsynsmail/A 22647-2022 tillsynsbegäran mail.docx", "A 22647-2022")</f>
        <v/>
      </c>
    </row>
    <row r="19" ht="15" customHeight="1">
      <c r="A19" t="inlineStr">
        <is>
          <t>A 11064-2024</t>
        </is>
      </c>
      <c r="B19" s="1" t="n">
        <v>45370</v>
      </c>
      <c r="C19" s="1" t="n">
        <v>45511</v>
      </c>
      <c r="D19" t="inlineStr">
        <is>
          <t>DALARNAS LÄN</t>
        </is>
      </c>
      <c r="E19" t="inlineStr">
        <is>
          <t>ORSA</t>
        </is>
      </c>
      <c r="G19" t="n">
        <v>26</v>
      </c>
      <c r="H19" t="n">
        <v>0</v>
      </c>
      <c r="I19" t="n">
        <v>2</v>
      </c>
      <c r="J19" t="n">
        <v>3</v>
      </c>
      <c r="K19" t="n">
        <v>1</v>
      </c>
      <c r="L19" t="n">
        <v>0</v>
      </c>
      <c r="M19" t="n">
        <v>0</v>
      </c>
      <c r="N19" t="n">
        <v>0</v>
      </c>
      <c r="O19" t="n">
        <v>4</v>
      </c>
      <c r="P19" t="n">
        <v>1</v>
      </c>
      <c r="Q19" t="n">
        <v>6</v>
      </c>
      <c r="R19" s="2" t="inlineStr">
        <is>
          <t>Gräddporing
Garnlav
Kolflarnlav
Vedskivlav
Mindre märgborre
Skinnlav</t>
        </is>
      </c>
      <c r="S19">
        <f>HYPERLINK("https://klasma.github.io/Logging_2034/artfynd/A 11064-2024 artfynd.xlsx", "A 11064-2024")</f>
        <v/>
      </c>
      <c r="T19">
        <f>HYPERLINK("https://klasma.github.io/Logging_2034/kartor/A 11064-2024 karta.png", "A 11064-2024")</f>
        <v/>
      </c>
      <c r="V19">
        <f>HYPERLINK("https://klasma.github.io/Logging_2034/klagomål/A 11064-2024 FSC-klagomål.docx", "A 11064-2024")</f>
        <v/>
      </c>
      <c r="W19">
        <f>HYPERLINK("https://klasma.github.io/Logging_2034/klagomålsmail/A 11064-2024 FSC-klagomål mail.docx", "A 11064-2024")</f>
        <v/>
      </c>
      <c r="X19">
        <f>HYPERLINK("https://klasma.github.io/Logging_2034/tillsyn/A 11064-2024 tillsynsbegäran.docx", "A 11064-2024")</f>
        <v/>
      </c>
      <c r="Y19">
        <f>HYPERLINK("https://klasma.github.io/Logging_2034/tillsynsmail/A 11064-2024 tillsynsbegäran mail.docx", "A 11064-2024")</f>
        <v/>
      </c>
    </row>
    <row r="20" ht="15" customHeight="1">
      <c r="A20" t="inlineStr">
        <is>
          <t>A 50728-2022</t>
        </is>
      </c>
      <c r="B20" s="1" t="n">
        <v>44867</v>
      </c>
      <c r="C20" s="1" t="n">
        <v>45511</v>
      </c>
      <c r="D20" t="inlineStr">
        <is>
          <t>DALARNAS LÄN</t>
        </is>
      </c>
      <c r="E20" t="inlineStr">
        <is>
          <t>ORSA</t>
        </is>
      </c>
      <c r="F20" t="inlineStr">
        <is>
          <t>Allmännings- och besparingsskogar</t>
        </is>
      </c>
      <c r="G20" t="n">
        <v>1.8</v>
      </c>
      <c r="H20" t="n">
        <v>0</v>
      </c>
      <c r="I20" t="n">
        <v>1</v>
      </c>
      <c r="J20" t="n">
        <v>4</v>
      </c>
      <c r="K20" t="n">
        <v>0</v>
      </c>
      <c r="L20" t="n">
        <v>0</v>
      </c>
      <c r="M20" t="n">
        <v>0</v>
      </c>
      <c r="N20" t="n">
        <v>0</v>
      </c>
      <c r="O20" t="n">
        <v>4</v>
      </c>
      <c r="P20" t="n">
        <v>0</v>
      </c>
      <c r="Q20" t="n">
        <v>5</v>
      </c>
      <c r="R20" s="2" t="inlineStr">
        <is>
          <t>Garnlav
Granticka
Lunglav
Skrovellav
Stuplav</t>
        </is>
      </c>
      <c r="S20">
        <f>HYPERLINK("https://klasma.github.io/Logging_2034/artfynd/A 50728-2022 artfynd.xlsx", "A 50728-2022")</f>
        <v/>
      </c>
      <c r="T20">
        <f>HYPERLINK("https://klasma.github.io/Logging_2034/kartor/A 50728-2022 karta.png", "A 50728-2022")</f>
        <v/>
      </c>
      <c r="V20">
        <f>HYPERLINK("https://klasma.github.io/Logging_2034/klagomål/A 50728-2022 FSC-klagomål.docx", "A 50728-2022")</f>
        <v/>
      </c>
      <c r="W20">
        <f>HYPERLINK("https://klasma.github.io/Logging_2034/klagomålsmail/A 50728-2022 FSC-klagomål mail.docx", "A 50728-2022")</f>
        <v/>
      </c>
      <c r="X20">
        <f>HYPERLINK("https://klasma.github.io/Logging_2034/tillsyn/A 50728-2022 tillsynsbegäran.docx", "A 50728-2022")</f>
        <v/>
      </c>
      <c r="Y20">
        <f>HYPERLINK("https://klasma.github.io/Logging_2034/tillsynsmail/A 50728-2022 tillsynsbegäran mail.docx", "A 50728-2022")</f>
        <v/>
      </c>
    </row>
    <row r="21" ht="15" customHeight="1">
      <c r="A21" t="inlineStr">
        <is>
          <t>A 40197-2023</t>
        </is>
      </c>
      <c r="B21" s="1" t="n">
        <v>45169</v>
      </c>
      <c r="C21" s="1" t="n">
        <v>45511</v>
      </c>
      <c r="D21" t="inlineStr">
        <is>
          <t>DALARNAS LÄN</t>
        </is>
      </c>
      <c r="E21" t="inlineStr">
        <is>
          <t>ORSA</t>
        </is>
      </c>
      <c r="F21" t="inlineStr">
        <is>
          <t>Allmännings- och besparingsskogar</t>
        </is>
      </c>
      <c r="G21" t="n">
        <v>6.2</v>
      </c>
      <c r="H21" t="n">
        <v>0</v>
      </c>
      <c r="I21" t="n">
        <v>0</v>
      </c>
      <c r="J21" t="n">
        <v>5</v>
      </c>
      <c r="K21" t="n">
        <v>0</v>
      </c>
      <c r="L21" t="n">
        <v>0</v>
      </c>
      <c r="M21" t="n">
        <v>0</v>
      </c>
      <c r="N21" t="n">
        <v>0</v>
      </c>
      <c r="O21" t="n">
        <v>5</v>
      </c>
      <c r="P21" t="n">
        <v>0</v>
      </c>
      <c r="Q21" t="n">
        <v>5</v>
      </c>
      <c r="R21" s="2" t="inlineStr">
        <is>
          <t>Garnlav
Halmgul örnlav
Skrovellav
Ullticka
Violettgrå tagellav</t>
        </is>
      </c>
      <c r="S21">
        <f>HYPERLINK("https://klasma.github.io/Logging_2034/artfynd/A 40197-2023 artfynd.xlsx", "A 40197-2023")</f>
        <v/>
      </c>
      <c r="T21">
        <f>HYPERLINK("https://klasma.github.io/Logging_2034/kartor/A 40197-2023 karta.png", "A 40197-2023")</f>
        <v/>
      </c>
      <c r="V21">
        <f>HYPERLINK("https://klasma.github.io/Logging_2034/klagomål/A 40197-2023 FSC-klagomål.docx", "A 40197-2023")</f>
        <v/>
      </c>
      <c r="W21">
        <f>HYPERLINK("https://klasma.github.io/Logging_2034/klagomålsmail/A 40197-2023 FSC-klagomål mail.docx", "A 40197-2023")</f>
        <v/>
      </c>
      <c r="X21">
        <f>HYPERLINK("https://klasma.github.io/Logging_2034/tillsyn/A 40197-2023 tillsynsbegäran.docx", "A 40197-2023")</f>
        <v/>
      </c>
      <c r="Y21">
        <f>HYPERLINK("https://klasma.github.io/Logging_2034/tillsynsmail/A 40197-2023 tillsynsbegäran mail.docx", "A 40197-2023")</f>
        <v/>
      </c>
    </row>
    <row r="22" ht="15" customHeight="1">
      <c r="A22" t="inlineStr">
        <is>
          <t>A 44628-2023</t>
        </is>
      </c>
      <c r="B22" s="1" t="n">
        <v>45189</v>
      </c>
      <c r="C22" s="1" t="n">
        <v>45511</v>
      </c>
      <c r="D22" t="inlineStr">
        <is>
          <t>DALARNAS LÄN</t>
        </is>
      </c>
      <c r="E22" t="inlineStr">
        <is>
          <t>ORSA</t>
        </is>
      </c>
      <c r="F22" t="inlineStr">
        <is>
          <t>Bergvik skog öst AB</t>
        </is>
      </c>
      <c r="G22" t="n">
        <v>12.3</v>
      </c>
      <c r="H22" t="n">
        <v>1</v>
      </c>
      <c r="I22" t="n">
        <v>1</v>
      </c>
      <c r="J22" t="n">
        <v>4</v>
      </c>
      <c r="K22" t="n">
        <v>0</v>
      </c>
      <c r="L22" t="n">
        <v>0</v>
      </c>
      <c r="M22" t="n">
        <v>0</v>
      </c>
      <c r="N22" t="n">
        <v>0</v>
      </c>
      <c r="O22" t="n">
        <v>4</v>
      </c>
      <c r="P22" t="n">
        <v>0</v>
      </c>
      <c r="Q22" t="n">
        <v>5</v>
      </c>
      <c r="R22" s="2" t="inlineStr">
        <is>
          <t>Garnlav
Kolflarnlav
Tretåig hackspett
Violettgrå tagellav
Kambräken</t>
        </is>
      </c>
      <c r="S22">
        <f>HYPERLINK("https://klasma.github.io/Logging_2034/artfynd/A 44628-2023 artfynd.xlsx", "A 44628-2023")</f>
        <v/>
      </c>
      <c r="T22">
        <f>HYPERLINK("https://klasma.github.io/Logging_2034/kartor/A 44628-2023 karta.png", "A 44628-2023")</f>
        <v/>
      </c>
      <c r="V22">
        <f>HYPERLINK("https://klasma.github.io/Logging_2034/klagomål/A 44628-2023 FSC-klagomål.docx", "A 44628-2023")</f>
        <v/>
      </c>
      <c r="W22">
        <f>HYPERLINK("https://klasma.github.io/Logging_2034/klagomålsmail/A 44628-2023 FSC-klagomål mail.docx", "A 44628-2023")</f>
        <v/>
      </c>
      <c r="X22">
        <f>HYPERLINK("https://klasma.github.io/Logging_2034/tillsyn/A 44628-2023 tillsynsbegäran.docx", "A 44628-2023")</f>
        <v/>
      </c>
      <c r="Y22">
        <f>HYPERLINK("https://klasma.github.io/Logging_2034/tillsynsmail/A 44628-2023 tillsynsbegäran mail.docx", "A 44628-2023")</f>
        <v/>
      </c>
      <c r="Z22">
        <f>HYPERLINK("https://klasma.github.io/Logging_2034/fåglar/A 44628-2023 prioriterade fågelarter.docx", "A 44628-2023")</f>
        <v/>
      </c>
    </row>
    <row r="23" ht="15" customHeight="1">
      <c r="A23" t="inlineStr">
        <is>
          <t>A 33366-2023</t>
        </is>
      </c>
      <c r="B23" s="1" t="n">
        <v>45128</v>
      </c>
      <c r="C23" s="1" t="n">
        <v>45511</v>
      </c>
      <c r="D23" t="inlineStr">
        <is>
          <t>DALARNAS LÄN</t>
        </is>
      </c>
      <c r="E23" t="inlineStr">
        <is>
          <t>ORSA</t>
        </is>
      </c>
      <c r="F23" t="inlineStr">
        <is>
          <t>Bergvik skog väst AB</t>
        </is>
      </c>
      <c r="G23" t="n">
        <v>3.5</v>
      </c>
      <c r="H23" t="n">
        <v>1</v>
      </c>
      <c r="I23" t="n">
        <v>0</v>
      </c>
      <c r="J23" t="n">
        <v>4</v>
      </c>
      <c r="K23" t="n">
        <v>0</v>
      </c>
      <c r="L23" t="n">
        <v>0</v>
      </c>
      <c r="M23" t="n">
        <v>0</v>
      </c>
      <c r="N23" t="n">
        <v>0</v>
      </c>
      <c r="O23" t="n">
        <v>4</v>
      </c>
      <c r="P23" t="n">
        <v>0</v>
      </c>
      <c r="Q23" t="n">
        <v>4</v>
      </c>
      <c r="R23" s="2" t="inlineStr">
        <is>
          <t>Garnlav
Granticka
Tretåig hackspett
Violettgrå tagellav</t>
        </is>
      </c>
      <c r="S23">
        <f>HYPERLINK("https://klasma.github.io/Logging_2034/artfynd/A 33366-2023 artfynd.xlsx", "A 33366-2023")</f>
        <v/>
      </c>
      <c r="T23">
        <f>HYPERLINK("https://klasma.github.io/Logging_2034/kartor/A 33366-2023 karta.png", "A 33366-2023")</f>
        <v/>
      </c>
      <c r="V23">
        <f>HYPERLINK("https://klasma.github.io/Logging_2034/klagomål/A 33366-2023 FSC-klagomål.docx", "A 33366-2023")</f>
        <v/>
      </c>
      <c r="W23">
        <f>HYPERLINK("https://klasma.github.io/Logging_2034/klagomålsmail/A 33366-2023 FSC-klagomål mail.docx", "A 33366-2023")</f>
        <v/>
      </c>
      <c r="X23">
        <f>HYPERLINK("https://klasma.github.io/Logging_2034/tillsyn/A 33366-2023 tillsynsbegäran.docx", "A 33366-2023")</f>
        <v/>
      </c>
      <c r="Y23">
        <f>HYPERLINK("https://klasma.github.io/Logging_2034/tillsynsmail/A 33366-2023 tillsynsbegäran mail.docx", "A 33366-2023")</f>
        <v/>
      </c>
      <c r="Z23">
        <f>HYPERLINK("https://klasma.github.io/Logging_2034/fåglar/A 33366-2023 prioriterade fågelarter.docx", "A 33366-2023")</f>
        <v/>
      </c>
    </row>
    <row r="24" ht="15" customHeight="1">
      <c r="A24" t="inlineStr">
        <is>
          <t>A 30284-2024</t>
        </is>
      </c>
      <c r="B24" s="1" t="n">
        <v>45490</v>
      </c>
      <c r="C24" s="1" t="n">
        <v>45511</v>
      </c>
      <c r="D24" t="inlineStr">
        <is>
          <t>DALARNAS LÄN</t>
        </is>
      </c>
      <c r="E24" t="inlineStr">
        <is>
          <t>ORSA</t>
        </is>
      </c>
      <c r="G24" t="n">
        <v>2.5</v>
      </c>
      <c r="H24" t="n">
        <v>0</v>
      </c>
      <c r="I24" t="n">
        <v>1</v>
      </c>
      <c r="J24" t="n">
        <v>2</v>
      </c>
      <c r="K24" t="n">
        <v>1</v>
      </c>
      <c r="L24" t="n">
        <v>0</v>
      </c>
      <c r="M24" t="n">
        <v>0</v>
      </c>
      <c r="N24" t="n">
        <v>0</v>
      </c>
      <c r="O24" t="n">
        <v>3</v>
      </c>
      <c r="P24" t="n">
        <v>1</v>
      </c>
      <c r="Q24" t="n">
        <v>4</v>
      </c>
      <c r="R24" s="2" t="inlineStr">
        <is>
          <t>Rotfingersvamp
Motaggsvamp
Skrovlig taggsvamp
Dropptaggsvamp</t>
        </is>
      </c>
      <c r="S24">
        <f>HYPERLINK("https://klasma.github.io/Logging_2034/artfynd/A 30284-2024 artfynd.xlsx", "A 30284-2024")</f>
        <v/>
      </c>
      <c r="T24">
        <f>HYPERLINK("https://klasma.github.io/Logging_2034/kartor/A 30284-2024 karta.png", "A 30284-2024")</f>
        <v/>
      </c>
      <c r="V24">
        <f>HYPERLINK("https://klasma.github.io/Logging_2034/klagomål/A 30284-2024 FSC-klagomål.docx", "A 30284-2024")</f>
        <v/>
      </c>
      <c r="W24">
        <f>HYPERLINK("https://klasma.github.io/Logging_2034/klagomålsmail/A 30284-2024 FSC-klagomål mail.docx", "A 30284-2024")</f>
        <v/>
      </c>
      <c r="X24">
        <f>HYPERLINK("https://klasma.github.io/Logging_2034/tillsyn/A 30284-2024 tillsynsbegäran.docx", "A 30284-2024")</f>
        <v/>
      </c>
      <c r="Y24">
        <f>HYPERLINK("https://klasma.github.io/Logging_2034/tillsynsmail/A 30284-2024 tillsynsbegäran mail.docx", "A 30284-2024")</f>
        <v/>
      </c>
    </row>
    <row r="25" ht="15" customHeight="1">
      <c r="A25" t="inlineStr">
        <is>
          <t>A 42651-2020</t>
        </is>
      </c>
      <c r="B25" s="1" t="n">
        <v>44077</v>
      </c>
      <c r="C25" s="1" t="n">
        <v>45511</v>
      </c>
      <c r="D25" t="inlineStr">
        <is>
          <t>DALARNAS LÄN</t>
        </is>
      </c>
      <c r="E25" t="inlineStr">
        <is>
          <t>ORSA</t>
        </is>
      </c>
      <c r="G25" t="n">
        <v>3.9</v>
      </c>
      <c r="H25" t="n">
        <v>0</v>
      </c>
      <c r="I25" t="n">
        <v>0</v>
      </c>
      <c r="J25" t="n">
        <v>3</v>
      </c>
      <c r="K25" t="n">
        <v>0</v>
      </c>
      <c r="L25" t="n">
        <v>0</v>
      </c>
      <c r="M25" t="n">
        <v>0</v>
      </c>
      <c r="N25" t="n">
        <v>0</v>
      </c>
      <c r="O25" t="n">
        <v>3</v>
      </c>
      <c r="P25" t="n">
        <v>0</v>
      </c>
      <c r="Q25" t="n">
        <v>3</v>
      </c>
      <c r="R25" s="2" t="inlineStr">
        <is>
          <t>Skrovellav
Tallticka
Vedflamlav</t>
        </is>
      </c>
      <c r="S25">
        <f>HYPERLINK("https://klasma.github.io/Logging_2034/artfynd/A 42651-2020 artfynd.xlsx", "A 42651-2020")</f>
        <v/>
      </c>
      <c r="T25">
        <f>HYPERLINK("https://klasma.github.io/Logging_2034/kartor/A 42651-2020 karta.png", "A 42651-2020")</f>
        <v/>
      </c>
      <c r="V25">
        <f>HYPERLINK("https://klasma.github.io/Logging_2034/klagomål/A 42651-2020 FSC-klagomål.docx", "A 42651-2020")</f>
        <v/>
      </c>
      <c r="W25">
        <f>HYPERLINK("https://klasma.github.io/Logging_2034/klagomålsmail/A 42651-2020 FSC-klagomål mail.docx", "A 42651-2020")</f>
        <v/>
      </c>
      <c r="X25">
        <f>HYPERLINK("https://klasma.github.io/Logging_2034/tillsyn/A 42651-2020 tillsynsbegäran.docx", "A 42651-2020")</f>
        <v/>
      </c>
      <c r="Y25">
        <f>HYPERLINK("https://klasma.github.io/Logging_2034/tillsynsmail/A 42651-2020 tillsynsbegäran mail.docx", "A 42651-2020")</f>
        <v/>
      </c>
    </row>
    <row r="26" ht="15" customHeight="1">
      <c r="A26" t="inlineStr">
        <is>
          <t>A 63810-2021</t>
        </is>
      </c>
      <c r="B26" s="1" t="n">
        <v>44509</v>
      </c>
      <c r="C26" s="1" t="n">
        <v>45511</v>
      </c>
      <c r="D26" t="inlineStr">
        <is>
          <t>DALARNAS LÄN</t>
        </is>
      </c>
      <c r="E26" t="inlineStr">
        <is>
          <t>ORSA</t>
        </is>
      </c>
      <c r="G26" t="n">
        <v>18.4</v>
      </c>
      <c r="H26" t="n">
        <v>0</v>
      </c>
      <c r="I26" t="n">
        <v>0</v>
      </c>
      <c r="J26" t="n">
        <v>2</v>
      </c>
      <c r="K26" t="n">
        <v>0</v>
      </c>
      <c r="L26" t="n">
        <v>0</v>
      </c>
      <c r="M26" t="n">
        <v>0</v>
      </c>
      <c r="N26" t="n">
        <v>0</v>
      </c>
      <c r="O26" t="n">
        <v>2</v>
      </c>
      <c r="P26" t="n">
        <v>0</v>
      </c>
      <c r="Q26" t="n">
        <v>2</v>
      </c>
      <c r="R26" s="2" t="inlineStr">
        <is>
          <t>Garnlav
Violettgrå tagellav</t>
        </is>
      </c>
      <c r="S26">
        <f>HYPERLINK("https://klasma.github.io/Logging_2034/artfynd/A 63810-2021 artfynd.xlsx", "A 63810-2021")</f>
        <v/>
      </c>
      <c r="T26">
        <f>HYPERLINK("https://klasma.github.io/Logging_2034/kartor/A 63810-2021 karta.png", "A 63810-2021")</f>
        <v/>
      </c>
      <c r="V26">
        <f>HYPERLINK("https://klasma.github.io/Logging_2034/klagomål/A 63810-2021 FSC-klagomål.docx", "A 63810-2021")</f>
        <v/>
      </c>
      <c r="W26">
        <f>HYPERLINK("https://klasma.github.io/Logging_2034/klagomålsmail/A 63810-2021 FSC-klagomål mail.docx", "A 63810-2021")</f>
        <v/>
      </c>
      <c r="X26">
        <f>HYPERLINK("https://klasma.github.io/Logging_2034/tillsyn/A 63810-2021 tillsynsbegäran.docx", "A 63810-2021")</f>
        <v/>
      </c>
      <c r="Y26">
        <f>HYPERLINK("https://klasma.github.io/Logging_2034/tillsynsmail/A 63810-2021 tillsynsbegäran mail.docx", "A 63810-2021")</f>
        <v/>
      </c>
    </row>
    <row r="27" ht="15" customHeight="1">
      <c r="A27" t="inlineStr">
        <is>
          <t>A 20914-2022</t>
        </is>
      </c>
      <c r="B27" s="1" t="n">
        <v>44701</v>
      </c>
      <c r="C27" s="1" t="n">
        <v>45511</v>
      </c>
      <c r="D27" t="inlineStr">
        <is>
          <t>DALARNAS LÄN</t>
        </is>
      </c>
      <c r="E27" t="inlineStr">
        <is>
          <t>ORSA</t>
        </is>
      </c>
      <c r="F27" t="inlineStr">
        <is>
          <t>Allmännings- och besparingsskogar</t>
        </is>
      </c>
      <c r="G27" t="n">
        <v>32.6</v>
      </c>
      <c r="H27" t="n">
        <v>1</v>
      </c>
      <c r="I27" t="n">
        <v>1</v>
      </c>
      <c r="J27" t="n">
        <v>1</v>
      </c>
      <c r="K27" t="n">
        <v>0</v>
      </c>
      <c r="L27" t="n">
        <v>0</v>
      </c>
      <c r="M27" t="n">
        <v>0</v>
      </c>
      <c r="N27" t="n">
        <v>0</v>
      </c>
      <c r="O27" t="n">
        <v>1</v>
      </c>
      <c r="P27" t="n">
        <v>0</v>
      </c>
      <c r="Q27" t="n">
        <v>2</v>
      </c>
      <c r="R27" s="2" t="inlineStr">
        <is>
          <t>Kungsörn
Vågbandad barkbock</t>
        </is>
      </c>
      <c r="S27">
        <f>HYPERLINK("https://klasma.github.io/Logging_2034/artfynd/A 20914-2022 artfynd.xlsx", "A 20914-2022")</f>
        <v/>
      </c>
      <c r="T27">
        <f>HYPERLINK("https://klasma.github.io/Logging_2034/kartor/A 20914-2022 karta.png", "A 20914-2022")</f>
        <v/>
      </c>
      <c r="V27">
        <f>HYPERLINK("https://klasma.github.io/Logging_2034/klagomål/A 20914-2022 FSC-klagomål.docx", "A 20914-2022")</f>
        <v/>
      </c>
      <c r="W27">
        <f>HYPERLINK("https://klasma.github.io/Logging_2034/klagomålsmail/A 20914-2022 FSC-klagomål mail.docx", "A 20914-2022")</f>
        <v/>
      </c>
      <c r="X27">
        <f>HYPERLINK("https://klasma.github.io/Logging_2034/tillsyn/A 20914-2022 tillsynsbegäran.docx", "A 20914-2022")</f>
        <v/>
      </c>
      <c r="Y27">
        <f>HYPERLINK("https://klasma.github.io/Logging_2034/tillsynsmail/A 20914-2022 tillsynsbegäran mail.docx", "A 20914-2022")</f>
        <v/>
      </c>
      <c r="Z27">
        <f>HYPERLINK("https://klasma.github.io/Logging_2034/fåglar/A 20914-2022 prioriterade fågelarter.docx", "A 20914-2022")</f>
        <v/>
      </c>
    </row>
    <row r="28" ht="15" customHeight="1">
      <c r="A28" t="inlineStr">
        <is>
          <t>A 47714-2022</t>
        </is>
      </c>
      <c r="B28" s="1" t="n">
        <v>44854</v>
      </c>
      <c r="C28" s="1" t="n">
        <v>45511</v>
      </c>
      <c r="D28" t="inlineStr">
        <is>
          <t>DALARNAS LÄN</t>
        </is>
      </c>
      <c r="E28" t="inlineStr">
        <is>
          <t>ORSA</t>
        </is>
      </c>
      <c r="F28" t="inlineStr">
        <is>
          <t>Bergvik skog öst AB</t>
        </is>
      </c>
      <c r="G28" t="n">
        <v>4.6</v>
      </c>
      <c r="H28" t="n">
        <v>2</v>
      </c>
      <c r="I28" t="n">
        <v>1</v>
      </c>
      <c r="J28" t="n">
        <v>1</v>
      </c>
      <c r="K28" t="n">
        <v>0</v>
      </c>
      <c r="L28" t="n">
        <v>0</v>
      </c>
      <c r="M28" t="n">
        <v>0</v>
      </c>
      <c r="N28" t="n">
        <v>0</v>
      </c>
      <c r="O28" t="n">
        <v>1</v>
      </c>
      <c r="P28" t="n">
        <v>0</v>
      </c>
      <c r="Q28" t="n">
        <v>2</v>
      </c>
      <c r="R28" s="2" t="inlineStr">
        <is>
          <t>Talltita
Plattlummer</t>
        </is>
      </c>
      <c r="S28">
        <f>HYPERLINK("https://klasma.github.io/Logging_2034/artfynd/A 47714-2022 artfynd.xlsx", "A 47714-2022")</f>
        <v/>
      </c>
      <c r="T28">
        <f>HYPERLINK("https://klasma.github.io/Logging_2034/kartor/A 47714-2022 karta.png", "A 47714-2022")</f>
        <v/>
      </c>
      <c r="V28">
        <f>HYPERLINK("https://klasma.github.io/Logging_2034/klagomål/A 47714-2022 FSC-klagomål.docx", "A 47714-2022")</f>
        <v/>
      </c>
      <c r="W28">
        <f>HYPERLINK("https://klasma.github.io/Logging_2034/klagomålsmail/A 47714-2022 FSC-klagomål mail.docx", "A 47714-2022")</f>
        <v/>
      </c>
      <c r="X28">
        <f>HYPERLINK("https://klasma.github.io/Logging_2034/tillsyn/A 47714-2022 tillsynsbegäran.docx", "A 47714-2022")</f>
        <v/>
      </c>
      <c r="Y28">
        <f>HYPERLINK("https://klasma.github.io/Logging_2034/tillsynsmail/A 47714-2022 tillsynsbegäran mail.docx", "A 47714-2022")</f>
        <v/>
      </c>
      <c r="Z28">
        <f>HYPERLINK("https://klasma.github.io/Logging_2034/fåglar/A 47714-2022 prioriterade fågelarter.docx", "A 47714-2022")</f>
        <v/>
      </c>
    </row>
    <row r="29" ht="15" customHeight="1">
      <c r="A29" t="inlineStr">
        <is>
          <t>A 48343-2022</t>
        </is>
      </c>
      <c r="B29" s="1" t="n">
        <v>44858</v>
      </c>
      <c r="C29" s="1" t="n">
        <v>45511</v>
      </c>
      <c r="D29" t="inlineStr">
        <is>
          <t>DALARNAS LÄN</t>
        </is>
      </c>
      <c r="E29" t="inlineStr">
        <is>
          <t>ORSA</t>
        </is>
      </c>
      <c r="G29" t="n">
        <v>1.6</v>
      </c>
      <c r="H29" t="n">
        <v>2</v>
      </c>
      <c r="I29" t="n">
        <v>0</v>
      </c>
      <c r="J29" t="n">
        <v>1</v>
      </c>
      <c r="K29" t="n">
        <v>0</v>
      </c>
      <c r="L29" t="n">
        <v>0</v>
      </c>
      <c r="M29" t="n">
        <v>0</v>
      </c>
      <c r="N29" t="n">
        <v>0</v>
      </c>
      <c r="O29" t="n">
        <v>1</v>
      </c>
      <c r="P29" t="n">
        <v>0</v>
      </c>
      <c r="Q29" t="n">
        <v>2</v>
      </c>
      <c r="R29" s="2" t="inlineStr">
        <is>
          <t>Nordfladdermus
Vattenfladdermus</t>
        </is>
      </c>
      <c r="S29">
        <f>HYPERLINK("https://klasma.github.io/Logging_2034/artfynd/A 48343-2022 artfynd.xlsx", "A 48343-2022")</f>
        <v/>
      </c>
      <c r="T29">
        <f>HYPERLINK("https://klasma.github.io/Logging_2034/kartor/A 48343-2022 karta.png", "A 48343-2022")</f>
        <v/>
      </c>
      <c r="V29">
        <f>HYPERLINK("https://klasma.github.io/Logging_2034/klagomål/A 48343-2022 FSC-klagomål.docx", "A 48343-2022")</f>
        <v/>
      </c>
      <c r="W29">
        <f>HYPERLINK("https://klasma.github.io/Logging_2034/klagomålsmail/A 48343-2022 FSC-klagomål mail.docx", "A 48343-2022")</f>
        <v/>
      </c>
      <c r="X29">
        <f>HYPERLINK("https://klasma.github.io/Logging_2034/tillsyn/A 48343-2022 tillsynsbegäran.docx", "A 48343-2022")</f>
        <v/>
      </c>
      <c r="Y29">
        <f>HYPERLINK("https://klasma.github.io/Logging_2034/tillsynsmail/A 48343-2022 tillsynsbegäran mail.docx", "A 48343-2022")</f>
        <v/>
      </c>
    </row>
    <row r="30" ht="15" customHeight="1">
      <c r="A30" t="inlineStr">
        <is>
          <t>A 53629-2022</t>
        </is>
      </c>
      <c r="B30" s="1" t="n">
        <v>44879</v>
      </c>
      <c r="C30" s="1" t="n">
        <v>45511</v>
      </c>
      <c r="D30" t="inlineStr">
        <is>
          <t>DALARNAS LÄN</t>
        </is>
      </c>
      <c r="E30" t="inlineStr">
        <is>
          <t>ORSA</t>
        </is>
      </c>
      <c r="G30" t="n">
        <v>8.199999999999999</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HYPERLINK("https://klasma.github.io/Logging_2034/artfynd/A 53629-2022 artfynd.xlsx", "A 53629-2022")</f>
        <v/>
      </c>
      <c r="T30">
        <f>HYPERLINK("https://klasma.github.io/Logging_2034/kartor/A 53629-2022 karta.png", "A 53629-2022")</f>
        <v/>
      </c>
      <c r="V30">
        <f>HYPERLINK("https://klasma.github.io/Logging_2034/klagomål/A 53629-2022 FSC-klagomål.docx", "A 53629-2022")</f>
        <v/>
      </c>
      <c r="W30">
        <f>HYPERLINK("https://klasma.github.io/Logging_2034/klagomålsmail/A 53629-2022 FSC-klagomål mail.docx", "A 53629-2022")</f>
        <v/>
      </c>
      <c r="X30">
        <f>HYPERLINK("https://klasma.github.io/Logging_2034/tillsyn/A 53629-2022 tillsynsbegäran.docx", "A 53629-2022")</f>
        <v/>
      </c>
      <c r="Y30">
        <f>HYPERLINK("https://klasma.github.io/Logging_2034/tillsynsmail/A 53629-2022 tillsynsbegäran mail.docx", "A 53629-2022")</f>
        <v/>
      </c>
    </row>
    <row r="31" ht="15" customHeight="1">
      <c r="A31" t="inlineStr">
        <is>
          <t>A 44656-2023</t>
        </is>
      </c>
      <c r="B31" s="1" t="n">
        <v>45189</v>
      </c>
      <c r="C31" s="1" t="n">
        <v>45511</v>
      </c>
      <c r="D31" t="inlineStr">
        <is>
          <t>DALARNAS LÄN</t>
        </is>
      </c>
      <c r="E31" t="inlineStr">
        <is>
          <t>ORSA</t>
        </is>
      </c>
      <c r="F31" t="inlineStr">
        <is>
          <t>Bergvik skog öst AB</t>
        </is>
      </c>
      <c r="G31" t="n">
        <v>3.4</v>
      </c>
      <c r="H31" t="n">
        <v>2</v>
      </c>
      <c r="I31" t="n">
        <v>0</v>
      </c>
      <c r="J31" t="n">
        <v>2</v>
      </c>
      <c r="K31" t="n">
        <v>0</v>
      </c>
      <c r="L31" t="n">
        <v>0</v>
      </c>
      <c r="M31" t="n">
        <v>0</v>
      </c>
      <c r="N31" t="n">
        <v>0</v>
      </c>
      <c r="O31" t="n">
        <v>2</v>
      </c>
      <c r="P31" t="n">
        <v>0</v>
      </c>
      <c r="Q31" t="n">
        <v>2</v>
      </c>
      <c r="R31" s="2" t="inlineStr">
        <is>
          <t>Spillkråka
Tretåig hackspett</t>
        </is>
      </c>
      <c r="S31">
        <f>HYPERLINK("https://klasma.github.io/Logging_2034/artfynd/A 44656-2023 artfynd.xlsx", "A 44656-2023")</f>
        <v/>
      </c>
      <c r="T31">
        <f>HYPERLINK("https://klasma.github.io/Logging_2034/kartor/A 44656-2023 karta.png", "A 44656-2023")</f>
        <v/>
      </c>
      <c r="V31">
        <f>HYPERLINK("https://klasma.github.io/Logging_2034/klagomål/A 44656-2023 FSC-klagomål.docx", "A 44656-2023")</f>
        <v/>
      </c>
      <c r="W31">
        <f>HYPERLINK("https://klasma.github.io/Logging_2034/klagomålsmail/A 44656-2023 FSC-klagomål mail.docx", "A 44656-2023")</f>
        <v/>
      </c>
      <c r="X31">
        <f>HYPERLINK("https://klasma.github.io/Logging_2034/tillsyn/A 44656-2023 tillsynsbegäran.docx", "A 44656-2023")</f>
        <v/>
      </c>
      <c r="Y31">
        <f>HYPERLINK("https://klasma.github.io/Logging_2034/tillsynsmail/A 44656-2023 tillsynsbegäran mail.docx", "A 44656-2023")</f>
        <v/>
      </c>
      <c r="Z31">
        <f>HYPERLINK("https://klasma.github.io/Logging_2034/fåglar/A 44656-2023 prioriterade fågelarter.docx", "A 44656-2023")</f>
        <v/>
      </c>
    </row>
    <row r="32" ht="15" customHeight="1">
      <c r="A32" t="inlineStr">
        <is>
          <t>A 38211-2020</t>
        </is>
      </c>
      <c r="B32" s="1" t="n">
        <v>44060</v>
      </c>
      <c r="C32" s="1" t="n">
        <v>45511</v>
      </c>
      <c r="D32" t="inlineStr">
        <is>
          <t>DALARNAS LÄN</t>
        </is>
      </c>
      <c r="E32" t="inlineStr">
        <is>
          <t>ORSA</t>
        </is>
      </c>
      <c r="G32" t="n">
        <v>1.2</v>
      </c>
      <c r="H32" t="n">
        <v>1</v>
      </c>
      <c r="I32" t="n">
        <v>0</v>
      </c>
      <c r="J32" t="n">
        <v>1</v>
      </c>
      <c r="K32" t="n">
        <v>0</v>
      </c>
      <c r="L32" t="n">
        <v>0</v>
      </c>
      <c r="M32" t="n">
        <v>0</v>
      </c>
      <c r="N32" t="n">
        <v>0</v>
      </c>
      <c r="O32" t="n">
        <v>1</v>
      </c>
      <c r="P32" t="n">
        <v>0</v>
      </c>
      <c r="Q32" t="n">
        <v>1</v>
      </c>
      <c r="R32" s="2" t="inlineStr">
        <is>
          <t>Utter</t>
        </is>
      </c>
      <c r="S32">
        <f>HYPERLINK("https://klasma.github.io/Logging_2034/artfynd/A 38211-2020 artfynd.xlsx", "A 38211-2020")</f>
        <v/>
      </c>
      <c r="T32">
        <f>HYPERLINK("https://klasma.github.io/Logging_2034/kartor/A 38211-2020 karta.png", "A 38211-2020")</f>
        <v/>
      </c>
      <c r="V32">
        <f>HYPERLINK("https://klasma.github.io/Logging_2034/klagomål/A 38211-2020 FSC-klagomål.docx", "A 38211-2020")</f>
        <v/>
      </c>
      <c r="W32">
        <f>HYPERLINK("https://klasma.github.io/Logging_2034/klagomålsmail/A 38211-2020 FSC-klagomål mail.docx", "A 38211-2020")</f>
        <v/>
      </c>
      <c r="X32">
        <f>HYPERLINK("https://klasma.github.io/Logging_2034/tillsyn/A 38211-2020 tillsynsbegäran.docx", "A 38211-2020")</f>
        <v/>
      </c>
      <c r="Y32">
        <f>HYPERLINK("https://klasma.github.io/Logging_2034/tillsynsmail/A 38211-2020 tillsynsbegäran mail.docx", "A 38211-2020")</f>
        <v/>
      </c>
    </row>
    <row r="33" ht="15" customHeight="1">
      <c r="A33" t="inlineStr">
        <is>
          <t>A 4144-2022</t>
        </is>
      </c>
      <c r="B33" s="1" t="n">
        <v>44588</v>
      </c>
      <c r="C33" s="1" t="n">
        <v>45511</v>
      </c>
      <c r="D33" t="inlineStr">
        <is>
          <t>DALARNAS LÄN</t>
        </is>
      </c>
      <c r="E33" t="inlineStr">
        <is>
          <t>ORSA</t>
        </is>
      </c>
      <c r="G33" t="n">
        <v>1</v>
      </c>
      <c r="H33" t="n">
        <v>0</v>
      </c>
      <c r="I33" t="n">
        <v>1</v>
      </c>
      <c r="J33" t="n">
        <v>0</v>
      </c>
      <c r="K33" t="n">
        <v>0</v>
      </c>
      <c r="L33" t="n">
        <v>0</v>
      </c>
      <c r="M33" t="n">
        <v>0</v>
      </c>
      <c r="N33" t="n">
        <v>0</v>
      </c>
      <c r="O33" t="n">
        <v>0</v>
      </c>
      <c r="P33" t="n">
        <v>0</v>
      </c>
      <c r="Q33" t="n">
        <v>1</v>
      </c>
      <c r="R33" s="2" t="inlineStr">
        <is>
          <t>Svart trolldruva</t>
        </is>
      </c>
      <c r="S33">
        <f>HYPERLINK("https://klasma.github.io/Logging_2034/artfynd/A 4144-2022 artfynd.xlsx", "A 4144-2022")</f>
        <v/>
      </c>
      <c r="T33">
        <f>HYPERLINK("https://klasma.github.io/Logging_2034/kartor/A 4144-2022 karta.png", "A 4144-2022")</f>
        <v/>
      </c>
      <c r="V33">
        <f>HYPERLINK("https://klasma.github.io/Logging_2034/klagomål/A 4144-2022 FSC-klagomål.docx", "A 4144-2022")</f>
        <v/>
      </c>
      <c r="W33">
        <f>HYPERLINK("https://klasma.github.io/Logging_2034/klagomålsmail/A 4144-2022 FSC-klagomål mail.docx", "A 4144-2022")</f>
        <v/>
      </c>
      <c r="X33">
        <f>HYPERLINK("https://klasma.github.io/Logging_2034/tillsyn/A 4144-2022 tillsynsbegäran.docx", "A 4144-2022")</f>
        <v/>
      </c>
      <c r="Y33">
        <f>HYPERLINK("https://klasma.github.io/Logging_2034/tillsynsmail/A 4144-2022 tillsynsbegäran mail.docx", "A 4144-2022")</f>
        <v/>
      </c>
    </row>
    <row r="34" ht="15" customHeight="1">
      <c r="A34" t="inlineStr">
        <is>
          <t>A 48766-2022</t>
        </is>
      </c>
      <c r="B34" s="1" t="n">
        <v>44859</v>
      </c>
      <c r="C34" s="1" t="n">
        <v>45511</v>
      </c>
      <c r="D34" t="inlineStr">
        <is>
          <t>DALARNAS LÄN</t>
        </is>
      </c>
      <c r="E34" t="inlineStr">
        <is>
          <t>ORSA</t>
        </is>
      </c>
      <c r="F34" t="inlineStr">
        <is>
          <t>Allmännings- och besparingsskogar</t>
        </is>
      </c>
      <c r="G34" t="n">
        <v>3.1</v>
      </c>
      <c r="H34" t="n">
        <v>0</v>
      </c>
      <c r="I34" t="n">
        <v>0</v>
      </c>
      <c r="J34" t="n">
        <v>1</v>
      </c>
      <c r="K34" t="n">
        <v>0</v>
      </c>
      <c r="L34" t="n">
        <v>0</v>
      </c>
      <c r="M34" t="n">
        <v>0</v>
      </c>
      <c r="N34" t="n">
        <v>0</v>
      </c>
      <c r="O34" t="n">
        <v>1</v>
      </c>
      <c r="P34" t="n">
        <v>0</v>
      </c>
      <c r="Q34" t="n">
        <v>1</v>
      </c>
      <c r="R34" s="2" t="inlineStr">
        <is>
          <t>Garnlav</t>
        </is>
      </c>
      <c r="S34">
        <f>HYPERLINK("https://klasma.github.io/Logging_2034/artfynd/A 48766-2022 artfynd.xlsx", "A 48766-2022")</f>
        <v/>
      </c>
      <c r="T34">
        <f>HYPERLINK("https://klasma.github.io/Logging_2034/kartor/A 48766-2022 karta.png", "A 48766-2022")</f>
        <v/>
      </c>
      <c r="V34">
        <f>HYPERLINK("https://klasma.github.io/Logging_2034/klagomål/A 48766-2022 FSC-klagomål.docx", "A 48766-2022")</f>
        <v/>
      </c>
      <c r="W34">
        <f>HYPERLINK("https://klasma.github.io/Logging_2034/klagomålsmail/A 48766-2022 FSC-klagomål mail.docx", "A 48766-2022")</f>
        <v/>
      </c>
      <c r="X34">
        <f>HYPERLINK("https://klasma.github.io/Logging_2034/tillsyn/A 48766-2022 tillsynsbegäran.docx", "A 48766-2022")</f>
        <v/>
      </c>
      <c r="Y34">
        <f>HYPERLINK("https://klasma.github.io/Logging_2034/tillsynsmail/A 48766-2022 tillsynsbegäran mail.docx", "A 48766-2022")</f>
        <v/>
      </c>
    </row>
    <row r="35" ht="15" customHeight="1">
      <c r="A35" t="inlineStr">
        <is>
          <t>A 29044-2023</t>
        </is>
      </c>
      <c r="B35" s="1" t="n">
        <v>45104</v>
      </c>
      <c r="C35" s="1" t="n">
        <v>45511</v>
      </c>
      <c r="D35" t="inlineStr">
        <is>
          <t>DALARNAS LÄN</t>
        </is>
      </c>
      <c r="E35" t="inlineStr">
        <is>
          <t>ORSA</t>
        </is>
      </c>
      <c r="G35" t="n">
        <v>1.8</v>
      </c>
      <c r="H35" t="n">
        <v>0</v>
      </c>
      <c r="I35" t="n">
        <v>1</v>
      </c>
      <c r="J35" t="n">
        <v>0</v>
      </c>
      <c r="K35" t="n">
        <v>0</v>
      </c>
      <c r="L35" t="n">
        <v>0</v>
      </c>
      <c r="M35" t="n">
        <v>0</v>
      </c>
      <c r="N35" t="n">
        <v>0</v>
      </c>
      <c r="O35" t="n">
        <v>0</v>
      </c>
      <c r="P35" t="n">
        <v>0</v>
      </c>
      <c r="Q35" t="n">
        <v>1</v>
      </c>
      <c r="R35" s="2" t="inlineStr">
        <is>
          <t>Korallblylav</t>
        </is>
      </c>
      <c r="S35">
        <f>HYPERLINK("https://klasma.github.io/Logging_2034/artfynd/A 29044-2023 artfynd.xlsx", "A 29044-2023")</f>
        <v/>
      </c>
      <c r="T35">
        <f>HYPERLINK("https://klasma.github.io/Logging_2034/kartor/A 29044-2023 karta.png", "A 29044-2023")</f>
        <v/>
      </c>
      <c r="V35">
        <f>HYPERLINK("https://klasma.github.io/Logging_2034/klagomål/A 29044-2023 FSC-klagomål.docx", "A 29044-2023")</f>
        <v/>
      </c>
      <c r="W35">
        <f>HYPERLINK("https://klasma.github.io/Logging_2034/klagomålsmail/A 29044-2023 FSC-klagomål mail.docx", "A 29044-2023")</f>
        <v/>
      </c>
      <c r="X35">
        <f>HYPERLINK("https://klasma.github.io/Logging_2034/tillsyn/A 29044-2023 tillsynsbegäran.docx", "A 29044-2023")</f>
        <v/>
      </c>
      <c r="Y35">
        <f>HYPERLINK("https://klasma.github.io/Logging_2034/tillsynsmail/A 29044-2023 tillsynsbegäran mail.docx", "A 29044-2023")</f>
        <v/>
      </c>
    </row>
    <row r="36" ht="15" customHeight="1">
      <c r="A36" t="inlineStr">
        <is>
          <t>A 35112-2023</t>
        </is>
      </c>
      <c r="B36" s="1" t="n">
        <v>45145</v>
      </c>
      <c r="C36" s="1" t="n">
        <v>45511</v>
      </c>
      <c r="D36" t="inlineStr">
        <is>
          <t>DALARNAS LÄN</t>
        </is>
      </c>
      <c r="E36" t="inlineStr">
        <is>
          <t>ORSA</t>
        </is>
      </c>
      <c r="F36" t="inlineStr">
        <is>
          <t>Allmännings- och besparingsskogar</t>
        </is>
      </c>
      <c r="G36" t="n">
        <v>6.9</v>
      </c>
      <c r="H36" t="n">
        <v>0</v>
      </c>
      <c r="I36" t="n">
        <v>0</v>
      </c>
      <c r="J36" t="n">
        <v>1</v>
      </c>
      <c r="K36" t="n">
        <v>0</v>
      </c>
      <c r="L36" t="n">
        <v>0</v>
      </c>
      <c r="M36" t="n">
        <v>0</v>
      </c>
      <c r="N36" t="n">
        <v>0</v>
      </c>
      <c r="O36" t="n">
        <v>1</v>
      </c>
      <c r="P36" t="n">
        <v>0</v>
      </c>
      <c r="Q36" t="n">
        <v>1</v>
      </c>
      <c r="R36" s="2" t="inlineStr">
        <is>
          <t>Skrovellav</t>
        </is>
      </c>
      <c r="S36">
        <f>HYPERLINK("https://klasma.github.io/Logging_2034/artfynd/A 35112-2023 artfynd.xlsx", "A 35112-2023")</f>
        <v/>
      </c>
      <c r="T36">
        <f>HYPERLINK("https://klasma.github.io/Logging_2034/kartor/A 35112-2023 karta.png", "A 35112-2023")</f>
        <v/>
      </c>
      <c r="V36">
        <f>HYPERLINK("https://klasma.github.io/Logging_2034/klagomål/A 35112-2023 FSC-klagomål.docx", "A 35112-2023")</f>
        <v/>
      </c>
      <c r="W36">
        <f>HYPERLINK("https://klasma.github.io/Logging_2034/klagomålsmail/A 35112-2023 FSC-klagomål mail.docx", "A 35112-2023")</f>
        <v/>
      </c>
      <c r="X36">
        <f>HYPERLINK("https://klasma.github.io/Logging_2034/tillsyn/A 35112-2023 tillsynsbegäran.docx", "A 35112-2023")</f>
        <v/>
      </c>
      <c r="Y36">
        <f>HYPERLINK("https://klasma.github.io/Logging_2034/tillsynsmail/A 35112-2023 tillsynsbegäran mail.docx", "A 35112-2023")</f>
        <v/>
      </c>
    </row>
    <row r="37" ht="15" customHeight="1">
      <c r="A37" t="inlineStr">
        <is>
          <t>A 37887-2023</t>
        </is>
      </c>
      <c r="B37" s="1" t="n">
        <v>45160</v>
      </c>
      <c r="C37" s="1" t="n">
        <v>45511</v>
      </c>
      <c r="D37" t="inlineStr">
        <is>
          <t>DALARNAS LÄN</t>
        </is>
      </c>
      <c r="E37" t="inlineStr">
        <is>
          <t>ORSA</t>
        </is>
      </c>
      <c r="F37" t="inlineStr">
        <is>
          <t>Allmännings- och besparingsskogar</t>
        </is>
      </c>
      <c r="G37" t="n">
        <v>20.5</v>
      </c>
      <c r="H37" t="n">
        <v>1</v>
      </c>
      <c r="I37" t="n">
        <v>0</v>
      </c>
      <c r="J37" t="n">
        <v>1</v>
      </c>
      <c r="K37" t="n">
        <v>0</v>
      </c>
      <c r="L37" t="n">
        <v>0</v>
      </c>
      <c r="M37" t="n">
        <v>0</v>
      </c>
      <c r="N37" t="n">
        <v>0</v>
      </c>
      <c r="O37" t="n">
        <v>1</v>
      </c>
      <c r="P37" t="n">
        <v>0</v>
      </c>
      <c r="Q37" t="n">
        <v>1</v>
      </c>
      <c r="R37" s="2" t="inlineStr">
        <is>
          <t>Varglav</t>
        </is>
      </c>
      <c r="S37">
        <f>HYPERLINK("https://klasma.github.io/Logging_2034/artfynd/A 37887-2023 artfynd.xlsx", "A 37887-2023")</f>
        <v/>
      </c>
      <c r="T37">
        <f>HYPERLINK("https://klasma.github.io/Logging_2034/kartor/A 37887-2023 karta.png", "A 37887-2023")</f>
        <v/>
      </c>
      <c r="V37">
        <f>HYPERLINK("https://klasma.github.io/Logging_2034/klagomål/A 37887-2023 FSC-klagomål.docx", "A 37887-2023")</f>
        <v/>
      </c>
      <c r="W37">
        <f>HYPERLINK("https://klasma.github.io/Logging_2034/klagomålsmail/A 37887-2023 FSC-klagomål mail.docx", "A 37887-2023")</f>
        <v/>
      </c>
      <c r="X37">
        <f>HYPERLINK("https://klasma.github.io/Logging_2034/tillsyn/A 37887-2023 tillsynsbegäran.docx", "A 37887-2023")</f>
        <v/>
      </c>
      <c r="Y37">
        <f>HYPERLINK("https://klasma.github.io/Logging_2034/tillsynsmail/A 37887-2023 tillsynsbegäran mail.docx", "A 37887-2023")</f>
        <v/>
      </c>
    </row>
    <row r="38" ht="15" customHeight="1">
      <c r="A38" t="inlineStr">
        <is>
          <t>A 40288-2023</t>
        </is>
      </c>
      <c r="B38" s="1" t="n">
        <v>45169</v>
      </c>
      <c r="C38" s="1" t="n">
        <v>45511</v>
      </c>
      <c r="D38" t="inlineStr">
        <is>
          <t>DALARNAS LÄN</t>
        </is>
      </c>
      <c r="E38" t="inlineStr">
        <is>
          <t>ORSA</t>
        </is>
      </c>
      <c r="F38" t="inlineStr">
        <is>
          <t>Allmännings- och besparingsskogar</t>
        </is>
      </c>
      <c r="G38" t="n">
        <v>4.2</v>
      </c>
      <c r="H38" t="n">
        <v>0</v>
      </c>
      <c r="I38" t="n">
        <v>0</v>
      </c>
      <c r="J38" t="n">
        <v>1</v>
      </c>
      <c r="K38" t="n">
        <v>0</v>
      </c>
      <c r="L38" t="n">
        <v>0</v>
      </c>
      <c r="M38" t="n">
        <v>0</v>
      </c>
      <c r="N38" t="n">
        <v>0</v>
      </c>
      <c r="O38" t="n">
        <v>1</v>
      </c>
      <c r="P38" t="n">
        <v>0</v>
      </c>
      <c r="Q38" t="n">
        <v>1</v>
      </c>
      <c r="R38" s="2" t="inlineStr">
        <is>
          <t>Vedflamlav</t>
        </is>
      </c>
      <c r="S38">
        <f>HYPERLINK("https://klasma.github.io/Logging_2034/artfynd/A 40288-2023 artfynd.xlsx", "A 40288-2023")</f>
        <v/>
      </c>
      <c r="T38">
        <f>HYPERLINK("https://klasma.github.io/Logging_2034/kartor/A 40288-2023 karta.png", "A 40288-2023")</f>
        <v/>
      </c>
      <c r="V38">
        <f>HYPERLINK("https://klasma.github.io/Logging_2034/klagomål/A 40288-2023 FSC-klagomål.docx", "A 40288-2023")</f>
        <v/>
      </c>
      <c r="W38">
        <f>HYPERLINK("https://klasma.github.io/Logging_2034/klagomålsmail/A 40288-2023 FSC-klagomål mail.docx", "A 40288-2023")</f>
        <v/>
      </c>
      <c r="X38">
        <f>HYPERLINK("https://klasma.github.io/Logging_2034/tillsyn/A 40288-2023 tillsynsbegäran.docx", "A 40288-2023")</f>
        <v/>
      </c>
      <c r="Y38">
        <f>HYPERLINK("https://klasma.github.io/Logging_2034/tillsynsmail/A 40288-2023 tillsynsbegäran mail.docx", "A 40288-2023")</f>
        <v/>
      </c>
    </row>
    <row r="39" ht="15" customHeight="1">
      <c r="A39" t="inlineStr">
        <is>
          <t>A 46179-2023</t>
        </is>
      </c>
      <c r="B39" s="1" t="n">
        <v>45196</v>
      </c>
      <c r="C39" s="1" t="n">
        <v>45511</v>
      </c>
      <c r="D39" t="inlineStr">
        <is>
          <t>DALARNAS LÄN</t>
        </is>
      </c>
      <c r="E39" t="inlineStr">
        <is>
          <t>ORSA</t>
        </is>
      </c>
      <c r="G39" t="n">
        <v>4.1</v>
      </c>
      <c r="H39" t="n">
        <v>0</v>
      </c>
      <c r="I39" t="n">
        <v>1</v>
      </c>
      <c r="J39" t="n">
        <v>0</v>
      </c>
      <c r="K39" t="n">
        <v>0</v>
      </c>
      <c r="L39" t="n">
        <v>0</v>
      </c>
      <c r="M39" t="n">
        <v>0</v>
      </c>
      <c r="N39" t="n">
        <v>0</v>
      </c>
      <c r="O39" t="n">
        <v>0</v>
      </c>
      <c r="P39" t="n">
        <v>0</v>
      </c>
      <c r="Q39" t="n">
        <v>1</v>
      </c>
      <c r="R39" s="2" t="inlineStr">
        <is>
          <t>Dropptaggsvamp</t>
        </is>
      </c>
      <c r="S39">
        <f>HYPERLINK("https://klasma.github.io/Logging_2034/artfynd/A 46179-2023 artfynd.xlsx", "A 46179-2023")</f>
        <v/>
      </c>
      <c r="T39">
        <f>HYPERLINK("https://klasma.github.io/Logging_2034/kartor/A 46179-2023 karta.png", "A 46179-2023")</f>
        <v/>
      </c>
      <c r="V39">
        <f>HYPERLINK("https://klasma.github.io/Logging_2034/klagomål/A 46179-2023 FSC-klagomål.docx", "A 46179-2023")</f>
        <v/>
      </c>
      <c r="W39">
        <f>HYPERLINK("https://klasma.github.io/Logging_2034/klagomålsmail/A 46179-2023 FSC-klagomål mail.docx", "A 46179-2023")</f>
        <v/>
      </c>
      <c r="X39">
        <f>HYPERLINK("https://klasma.github.io/Logging_2034/tillsyn/A 46179-2023 tillsynsbegäran.docx", "A 46179-2023")</f>
        <v/>
      </c>
      <c r="Y39">
        <f>HYPERLINK("https://klasma.github.io/Logging_2034/tillsynsmail/A 46179-2023 tillsynsbegäran mail.docx", "A 46179-2023")</f>
        <v/>
      </c>
    </row>
    <row r="40" ht="15" customHeight="1">
      <c r="A40" t="inlineStr">
        <is>
          <t>A 48452-2023</t>
        </is>
      </c>
      <c r="B40" s="1" t="n">
        <v>45206</v>
      </c>
      <c r="C40" s="1" t="n">
        <v>45511</v>
      </c>
      <c r="D40" t="inlineStr">
        <is>
          <t>DALARNAS LÄN</t>
        </is>
      </c>
      <c r="E40" t="inlineStr">
        <is>
          <t>ORSA</t>
        </is>
      </c>
      <c r="G40" t="n">
        <v>1.5</v>
      </c>
      <c r="H40" t="n">
        <v>0</v>
      </c>
      <c r="I40" t="n">
        <v>0</v>
      </c>
      <c r="J40" t="n">
        <v>1</v>
      </c>
      <c r="K40" t="n">
        <v>0</v>
      </c>
      <c r="L40" t="n">
        <v>0</v>
      </c>
      <c r="M40" t="n">
        <v>0</v>
      </c>
      <c r="N40" t="n">
        <v>0</v>
      </c>
      <c r="O40" t="n">
        <v>1</v>
      </c>
      <c r="P40" t="n">
        <v>0</v>
      </c>
      <c r="Q40" t="n">
        <v>1</v>
      </c>
      <c r="R40" s="2" t="inlineStr">
        <is>
          <t>Motaggsvamp</t>
        </is>
      </c>
      <c r="S40">
        <f>HYPERLINK("https://klasma.github.io/Logging_2034/artfynd/A 48452-2023 artfynd.xlsx", "A 48452-2023")</f>
        <v/>
      </c>
      <c r="T40">
        <f>HYPERLINK("https://klasma.github.io/Logging_2034/kartor/A 48452-2023 karta.png", "A 48452-2023")</f>
        <v/>
      </c>
      <c r="V40">
        <f>HYPERLINK("https://klasma.github.io/Logging_2034/klagomål/A 48452-2023 FSC-klagomål.docx", "A 48452-2023")</f>
        <v/>
      </c>
      <c r="W40">
        <f>HYPERLINK("https://klasma.github.io/Logging_2034/klagomålsmail/A 48452-2023 FSC-klagomål mail.docx", "A 48452-2023")</f>
        <v/>
      </c>
      <c r="X40">
        <f>HYPERLINK("https://klasma.github.io/Logging_2034/tillsyn/A 48452-2023 tillsynsbegäran.docx", "A 48452-2023")</f>
        <v/>
      </c>
      <c r="Y40">
        <f>HYPERLINK("https://klasma.github.io/Logging_2034/tillsynsmail/A 48452-2023 tillsynsbegäran mail.docx", "A 48452-2023")</f>
        <v/>
      </c>
    </row>
    <row r="41" ht="15" customHeight="1">
      <c r="A41" t="inlineStr">
        <is>
          <t>A 6029-2024</t>
        </is>
      </c>
      <c r="B41" s="1" t="n">
        <v>45336</v>
      </c>
      <c r="C41" s="1" t="n">
        <v>45511</v>
      </c>
      <c r="D41" t="inlineStr">
        <is>
          <t>DALARNAS LÄN</t>
        </is>
      </c>
      <c r="E41" t="inlineStr">
        <is>
          <t>ORSA</t>
        </is>
      </c>
      <c r="F41" t="inlineStr">
        <is>
          <t>Kommuner</t>
        </is>
      </c>
      <c r="G41" t="n">
        <v>0.8</v>
      </c>
      <c r="H41" t="n">
        <v>0</v>
      </c>
      <c r="I41" t="n">
        <v>1</v>
      </c>
      <c r="J41" t="n">
        <v>0</v>
      </c>
      <c r="K41" t="n">
        <v>0</v>
      </c>
      <c r="L41" t="n">
        <v>0</v>
      </c>
      <c r="M41" t="n">
        <v>0</v>
      </c>
      <c r="N41" t="n">
        <v>0</v>
      </c>
      <c r="O41" t="n">
        <v>0</v>
      </c>
      <c r="P41" t="n">
        <v>0</v>
      </c>
      <c r="Q41" t="n">
        <v>1</v>
      </c>
      <c r="R41" s="2" t="inlineStr">
        <is>
          <t>Svart trolldruva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26119-2019</t>
        </is>
      </c>
      <c r="B42" s="1" t="n">
        <v>43609</v>
      </c>
      <c r="C42" s="1" t="n">
        <v>45511</v>
      </c>
      <c r="D42" t="inlineStr">
        <is>
          <t>DALARNAS LÄN</t>
        </is>
      </c>
      <c r="E42" t="inlineStr">
        <is>
          <t>ORSA</t>
        </is>
      </c>
      <c r="F42" t="inlineStr">
        <is>
          <t>Allmännings- och besparingsskogar</t>
        </is>
      </c>
      <c r="G42" t="n">
        <v>4.7</v>
      </c>
      <c r="H42" t="n">
        <v>0</v>
      </c>
      <c r="I42" t="n">
        <v>0</v>
      </c>
      <c r="J42" t="n">
        <v>0</v>
      </c>
      <c r="K42" t="n">
        <v>0</v>
      </c>
      <c r="L42" t="n">
        <v>0</v>
      </c>
      <c r="M42" t="n">
        <v>0</v>
      </c>
      <c r="N42" t="n">
        <v>0</v>
      </c>
      <c r="O42" t="n">
        <v>0</v>
      </c>
      <c r="P42" t="n">
        <v>0</v>
      </c>
      <c r="Q42" t="n">
        <v>0</v>
      </c>
      <c r="R42" s="2" t="inlineStr"/>
    </row>
    <row r="43" ht="15" customHeight="1">
      <c r="A43" t="inlineStr">
        <is>
          <t>A 27655-2019</t>
        </is>
      </c>
      <c r="B43" s="1" t="n">
        <v>43619</v>
      </c>
      <c r="C43" s="1" t="n">
        <v>45511</v>
      </c>
      <c r="D43" t="inlineStr">
        <is>
          <t>DALARNAS LÄN</t>
        </is>
      </c>
      <c r="E43" t="inlineStr">
        <is>
          <t>ORSA</t>
        </is>
      </c>
      <c r="F43" t="inlineStr">
        <is>
          <t>Bergvik skog öst AB</t>
        </is>
      </c>
      <c r="G43" t="n">
        <v>26.9</v>
      </c>
      <c r="H43" t="n">
        <v>0</v>
      </c>
      <c r="I43" t="n">
        <v>0</v>
      </c>
      <c r="J43" t="n">
        <v>0</v>
      </c>
      <c r="K43" t="n">
        <v>0</v>
      </c>
      <c r="L43" t="n">
        <v>0</v>
      </c>
      <c r="M43" t="n">
        <v>0</v>
      </c>
      <c r="N43" t="n">
        <v>0</v>
      </c>
      <c r="O43" t="n">
        <v>0</v>
      </c>
      <c r="P43" t="n">
        <v>0</v>
      </c>
      <c r="Q43" t="n">
        <v>0</v>
      </c>
      <c r="R43" s="2" t="inlineStr"/>
    </row>
    <row r="44" ht="15" customHeight="1">
      <c r="A44" t="inlineStr">
        <is>
          <t>A 28464-2019</t>
        </is>
      </c>
      <c r="B44" s="1" t="n">
        <v>43626</v>
      </c>
      <c r="C44" s="1" t="n">
        <v>45511</v>
      </c>
      <c r="D44" t="inlineStr">
        <is>
          <t>DALARNAS LÄN</t>
        </is>
      </c>
      <c r="E44" t="inlineStr">
        <is>
          <t>ORSA</t>
        </is>
      </c>
      <c r="F44" t="inlineStr">
        <is>
          <t>Bergvik skog öst AB</t>
        </is>
      </c>
      <c r="G44" t="n">
        <v>0.8</v>
      </c>
      <c r="H44" t="n">
        <v>0</v>
      </c>
      <c r="I44" t="n">
        <v>0</v>
      </c>
      <c r="J44" t="n">
        <v>0</v>
      </c>
      <c r="K44" t="n">
        <v>0</v>
      </c>
      <c r="L44" t="n">
        <v>0</v>
      </c>
      <c r="M44" t="n">
        <v>0</v>
      </c>
      <c r="N44" t="n">
        <v>0</v>
      </c>
      <c r="O44" t="n">
        <v>0</v>
      </c>
      <c r="P44" t="n">
        <v>0</v>
      </c>
      <c r="Q44" t="n">
        <v>0</v>
      </c>
      <c r="R44" s="2" t="inlineStr"/>
    </row>
    <row r="45" ht="15" customHeight="1">
      <c r="A45" t="inlineStr">
        <is>
          <t>A 31099-2019</t>
        </is>
      </c>
      <c r="B45" s="1" t="n">
        <v>43640</v>
      </c>
      <c r="C45" s="1" t="n">
        <v>45511</v>
      </c>
      <c r="D45" t="inlineStr">
        <is>
          <t>DALARNAS LÄN</t>
        </is>
      </c>
      <c r="E45" t="inlineStr">
        <is>
          <t>ORSA</t>
        </is>
      </c>
      <c r="F45" t="inlineStr">
        <is>
          <t>Allmännings- och besparingsskogar</t>
        </is>
      </c>
      <c r="G45" t="n">
        <v>5</v>
      </c>
      <c r="H45" t="n">
        <v>0</v>
      </c>
      <c r="I45" t="n">
        <v>0</v>
      </c>
      <c r="J45" t="n">
        <v>0</v>
      </c>
      <c r="K45" t="n">
        <v>0</v>
      </c>
      <c r="L45" t="n">
        <v>0</v>
      </c>
      <c r="M45" t="n">
        <v>0</v>
      </c>
      <c r="N45" t="n">
        <v>0</v>
      </c>
      <c r="O45" t="n">
        <v>0</v>
      </c>
      <c r="P45" t="n">
        <v>0</v>
      </c>
      <c r="Q45" t="n">
        <v>0</v>
      </c>
      <c r="R45" s="2" t="inlineStr"/>
    </row>
    <row r="46" ht="15" customHeight="1">
      <c r="A46" t="inlineStr">
        <is>
          <t>A 31956-2019</t>
        </is>
      </c>
      <c r="B46" s="1" t="n">
        <v>43643</v>
      </c>
      <c r="C46" s="1" t="n">
        <v>45511</v>
      </c>
      <c r="D46" t="inlineStr">
        <is>
          <t>DALARNAS LÄN</t>
        </is>
      </c>
      <c r="E46" t="inlineStr">
        <is>
          <t>ORSA</t>
        </is>
      </c>
      <c r="F46" t="inlineStr">
        <is>
          <t>Bergvik skog öst AB</t>
        </is>
      </c>
      <c r="G46" t="n">
        <v>1.3</v>
      </c>
      <c r="H46" t="n">
        <v>0</v>
      </c>
      <c r="I46" t="n">
        <v>0</v>
      </c>
      <c r="J46" t="n">
        <v>0</v>
      </c>
      <c r="K46" t="n">
        <v>0</v>
      </c>
      <c r="L46" t="n">
        <v>0</v>
      </c>
      <c r="M46" t="n">
        <v>0</v>
      </c>
      <c r="N46" t="n">
        <v>0</v>
      </c>
      <c r="O46" t="n">
        <v>0</v>
      </c>
      <c r="P46" t="n">
        <v>0</v>
      </c>
      <c r="Q46" t="n">
        <v>0</v>
      </c>
      <c r="R46" s="2" t="inlineStr"/>
    </row>
    <row r="47" ht="15" customHeight="1">
      <c r="A47" t="inlineStr">
        <is>
          <t>A 32094-2019</t>
        </is>
      </c>
      <c r="B47" s="1" t="n">
        <v>43643</v>
      </c>
      <c r="C47" s="1" t="n">
        <v>45511</v>
      </c>
      <c r="D47" t="inlineStr">
        <is>
          <t>DALARNAS LÄN</t>
        </is>
      </c>
      <c r="E47" t="inlineStr">
        <is>
          <t>ORSA</t>
        </is>
      </c>
      <c r="F47" t="inlineStr">
        <is>
          <t>Bergvik skog väst AB</t>
        </is>
      </c>
      <c r="G47" t="n">
        <v>19.2</v>
      </c>
      <c r="H47" t="n">
        <v>0</v>
      </c>
      <c r="I47" t="n">
        <v>0</v>
      </c>
      <c r="J47" t="n">
        <v>0</v>
      </c>
      <c r="K47" t="n">
        <v>0</v>
      </c>
      <c r="L47" t="n">
        <v>0</v>
      </c>
      <c r="M47" t="n">
        <v>0</v>
      </c>
      <c r="N47" t="n">
        <v>0</v>
      </c>
      <c r="O47" t="n">
        <v>0</v>
      </c>
      <c r="P47" t="n">
        <v>0</v>
      </c>
      <c r="Q47" t="n">
        <v>0</v>
      </c>
      <c r="R47" s="2" t="inlineStr"/>
    </row>
    <row r="48" ht="15" customHeight="1">
      <c r="A48" t="inlineStr">
        <is>
          <t>A 32933-2019</t>
        </is>
      </c>
      <c r="B48" s="1" t="n">
        <v>43648</v>
      </c>
      <c r="C48" s="1" t="n">
        <v>45511</v>
      </c>
      <c r="D48" t="inlineStr">
        <is>
          <t>DALARNAS LÄN</t>
        </is>
      </c>
      <c r="E48" t="inlineStr">
        <is>
          <t>ORSA</t>
        </is>
      </c>
      <c r="G48" t="n">
        <v>6.3</v>
      </c>
      <c r="H48" t="n">
        <v>0</v>
      </c>
      <c r="I48" t="n">
        <v>0</v>
      </c>
      <c r="J48" t="n">
        <v>0</v>
      </c>
      <c r="K48" t="n">
        <v>0</v>
      </c>
      <c r="L48" t="n">
        <v>0</v>
      </c>
      <c r="M48" t="n">
        <v>0</v>
      </c>
      <c r="N48" t="n">
        <v>0</v>
      </c>
      <c r="O48" t="n">
        <v>0</v>
      </c>
      <c r="P48" t="n">
        <v>0</v>
      </c>
      <c r="Q48" t="n">
        <v>0</v>
      </c>
      <c r="R48" s="2" t="inlineStr"/>
    </row>
    <row r="49" ht="15" customHeight="1">
      <c r="A49" t="inlineStr">
        <is>
          <t>A 34257-2019</t>
        </is>
      </c>
      <c r="B49" s="1" t="n">
        <v>43655</v>
      </c>
      <c r="C49" s="1" t="n">
        <v>45511</v>
      </c>
      <c r="D49" t="inlineStr">
        <is>
          <t>DALARNAS LÄN</t>
        </is>
      </c>
      <c r="E49" t="inlineStr">
        <is>
          <t>ORSA</t>
        </is>
      </c>
      <c r="G49" t="n">
        <v>2.9</v>
      </c>
      <c r="H49" t="n">
        <v>0</v>
      </c>
      <c r="I49" t="n">
        <v>0</v>
      </c>
      <c r="J49" t="n">
        <v>0</v>
      </c>
      <c r="K49" t="n">
        <v>0</v>
      </c>
      <c r="L49" t="n">
        <v>0</v>
      </c>
      <c r="M49" t="n">
        <v>0</v>
      </c>
      <c r="N49" t="n">
        <v>0</v>
      </c>
      <c r="O49" t="n">
        <v>0</v>
      </c>
      <c r="P49" t="n">
        <v>0</v>
      </c>
      <c r="Q49" t="n">
        <v>0</v>
      </c>
      <c r="R49" s="2" t="inlineStr"/>
    </row>
    <row r="50" ht="15" customHeight="1">
      <c r="A50" t="inlineStr">
        <is>
          <t>A 34521-2019</t>
        </is>
      </c>
      <c r="B50" s="1" t="n">
        <v>43657</v>
      </c>
      <c r="C50" s="1" t="n">
        <v>45511</v>
      </c>
      <c r="D50" t="inlineStr">
        <is>
          <t>DALARNAS LÄN</t>
        </is>
      </c>
      <c r="E50" t="inlineStr">
        <is>
          <t>ORSA</t>
        </is>
      </c>
      <c r="G50" t="n">
        <v>0.8</v>
      </c>
      <c r="H50" t="n">
        <v>0</v>
      </c>
      <c r="I50" t="n">
        <v>0</v>
      </c>
      <c r="J50" t="n">
        <v>0</v>
      </c>
      <c r="K50" t="n">
        <v>0</v>
      </c>
      <c r="L50" t="n">
        <v>0</v>
      </c>
      <c r="M50" t="n">
        <v>0</v>
      </c>
      <c r="N50" t="n">
        <v>0</v>
      </c>
      <c r="O50" t="n">
        <v>0</v>
      </c>
      <c r="P50" t="n">
        <v>0</v>
      </c>
      <c r="Q50" t="n">
        <v>0</v>
      </c>
      <c r="R50" s="2" t="inlineStr"/>
    </row>
    <row r="51" ht="15" customHeight="1">
      <c r="A51" t="inlineStr">
        <is>
          <t>A 36274-2019</t>
        </is>
      </c>
      <c r="B51" s="1" t="n">
        <v>43661</v>
      </c>
      <c r="C51" s="1" t="n">
        <v>45511</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35663-2019</t>
        </is>
      </c>
      <c r="B52" s="1" t="n">
        <v>43664</v>
      </c>
      <c r="C52" s="1" t="n">
        <v>45511</v>
      </c>
      <c r="D52" t="inlineStr">
        <is>
          <t>DALARNAS LÄN</t>
        </is>
      </c>
      <c r="E52" t="inlineStr">
        <is>
          <t>ORSA</t>
        </is>
      </c>
      <c r="G52" t="n">
        <v>2.7</v>
      </c>
      <c r="H52" t="n">
        <v>0</v>
      </c>
      <c r="I52" t="n">
        <v>0</v>
      </c>
      <c r="J52" t="n">
        <v>0</v>
      </c>
      <c r="K52" t="n">
        <v>0</v>
      </c>
      <c r="L52" t="n">
        <v>0</v>
      </c>
      <c r="M52" t="n">
        <v>0</v>
      </c>
      <c r="N52" t="n">
        <v>0</v>
      </c>
      <c r="O52" t="n">
        <v>0</v>
      </c>
      <c r="P52" t="n">
        <v>0</v>
      </c>
      <c r="Q52" t="n">
        <v>0</v>
      </c>
      <c r="R52" s="2" t="inlineStr"/>
    </row>
    <row r="53" ht="15" customHeight="1">
      <c r="A53" t="inlineStr">
        <is>
          <t>A 36989-2019</t>
        </is>
      </c>
      <c r="B53" s="1" t="n">
        <v>43676</v>
      </c>
      <c r="C53" s="1" t="n">
        <v>45511</v>
      </c>
      <c r="D53" t="inlineStr">
        <is>
          <t>DALARNAS LÄN</t>
        </is>
      </c>
      <c r="E53" t="inlineStr">
        <is>
          <t>ORSA</t>
        </is>
      </c>
      <c r="G53" t="n">
        <v>0.5</v>
      </c>
      <c r="H53" t="n">
        <v>0</v>
      </c>
      <c r="I53" t="n">
        <v>0</v>
      </c>
      <c r="J53" t="n">
        <v>0</v>
      </c>
      <c r="K53" t="n">
        <v>0</v>
      </c>
      <c r="L53" t="n">
        <v>0</v>
      </c>
      <c r="M53" t="n">
        <v>0</v>
      </c>
      <c r="N53" t="n">
        <v>0</v>
      </c>
      <c r="O53" t="n">
        <v>0</v>
      </c>
      <c r="P53" t="n">
        <v>0</v>
      </c>
      <c r="Q53" t="n">
        <v>0</v>
      </c>
      <c r="R53" s="2" t="inlineStr"/>
    </row>
    <row r="54" ht="15" customHeight="1">
      <c r="A54" t="inlineStr">
        <is>
          <t>A 37001-2019</t>
        </is>
      </c>
      <c r="B54" s="1" t="n">
        <v>43676</v>
      </c>
      <c r="C54" s="1" t="n">
        <v>45511</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37809-2019</t>
        </is>
      </c>
      <c r="B55" s="1" t="n">
        <v>43682</v>
      </c>
      <c r="C55" s="1" t="n">
        <v>45511</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38858-2019</t>
        </is>
      </c>
      <c r="B56" s="1" t="n">
        <v>43689</v>
      </c>
      <c r="C56" s="1" t="n">
        <v>45511</v>
      </c>
      <c r="D56" t="inlineStr">
        <is>
          <t>DALARNAS LÄN</t>
        </is>
      </c>
      <c r="E56" t="inlineStr">
        <is>
          <t>ORSA</t>
        </is>
      </c>
      <c r="G56" t="n">
        <v>2.1</v>
      </c>
      <c r="H56" t="n">
        <v>0</v>
      </c>
      <c r="I56" t="n">
        <v>0</v>
      </c>
      <c r="J56" t="n">
        <v>0</v>
      </c>
      <c r="K56" t="n">
        <v>0</v>
      </c>
      <c r="L56" t="n">
        <v>0</v>
      </c>
      <c r="M56" t="n">
        <v>0</v>
      </c>
      <c r="N56" t="n">
        <v>0</v>
      </c>
      <c r="O56" t="n">
        <v>0</v>
      </c>
      <c r="P56" t="n">
        <v>0</v>
      </c>
      <c r="Q56" t="n">
        <v>0</v>
      </c>
      <c r="R56" s="2" t="inlineStr"/>
    </row>
    <row r="57" ht="15" customHeight="1">
      <c r="A57" t="inlineStr">
        <is>
          <t>A 38857-2019</t>
        </is>
      </c>
      <c r="B57" s="1" t="n">
        <v>43689</v>
      </c>
      <c r="C57" s="1" t="n">
        <v>45511</v>
      </c>
      <c r="D57" t="inlineStr">
        <is>
          <t>DALARNAS LÄN</t>
        </is>
      </c>
      <c r="E57" t="inlineStr">
        <is>
          <t>ORSA</t>
        </is>
      </c>
      <c r="G57" t="n">
        <v>1.7</v>
      </c>
      <c r="H57" t="n">
        <v>0</v>
      </c>
      <c r="I57" t="n">
        <v>0</v>
      </c>
      <c r="J57" t="n">
        <v>0</v>
      </c>
      <c r="K57" t="n">
        <v>0</v>
      </c>
      <c r="L57" t="n">
        <v>0</v>
      </c>
      <c r="M57" t="n">
        <v>0</v>
      </c>
      <c r="N57" t="n">
        <v>0</v>
      </c>
      <c r="O57" t="n">
        <v>0</v>
      </c>
      <c r="P57" t="n">
        <v>0</v>
      </c>
      <c r="Q57" t="n">
        <v>0</v>
      </c>
      <c r="R57" s="2" t="inlineStr"/>
    </row>
    <row r="58" ht="15" customHeight="1">
      <c r="A58" t="inlineStr">
        <is>
          <t>A 43403-2019</t>
        </is>
      </c>
      <c r="B58" s="1" t="n">
        <v>43706</v>
      </c>
      <c r="C58" s="1" t="n">
        <v>45511</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45996-2019</t>
        </is>
      </c>
      <c r="B59" s="1" t="n">
        <v>43713</v>
      </c>
      <c r="C59" s="1" t="n">
        <v>45511</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45612-2019</t>
        </is>
      </c>
      <c r="B60" s="1" t="n">
        <v>43717</v>
      </c>
      <c r="C60" s="1" t="n">
        <v>45511</v>
      </c>
      <c r="D60" t="inlineStr">
        <is>
          <t>DALARNAS LÄN</t>
        </is>
      </c>
      <c r="E60" t="inlineStr">
        <is>
          <t>ORSA</t>
        </is>
      </c>
      <c r="G60" t="n">
        <v>0.8</v>
      </c>
      <c r="H60" t="n">
        <v>0</v>
      </c>
      <c r="I60" t="n">
        <v>0</v>
      </c>
      <c r="J60" t="n">
        <v>0</v>
      </c>
      <c r="K60" t="n">
        <v>0</v>
      </c>
      <c r="L60" t="n">
        <v>0</v>
      </c>
      <c r="M60" t="n">
        <v>0</v>
      </c>
      <c r="N60" t="n">
        <v>0</v>
      </c>
      <c r="O60" t="n">
        <v>0</v>
      </c>
      <c r="P60" t="n">
        <v>0</v>
      </c>
      <c r="Q60" t="n">
        <v>0</v>
      </c>
      <c r="R60" s="2" t="inlineStr"/>
    </row>
    <row r="61" ht="15" customHeight="1">
      <c r="A61" t="inlineStr">
        <is>
          <t>A 49953-2019</t>
        </is>
      </c>
      <c r="B61" s="1" t="n">
        <v>43733</v>
      </c>
      <c r="C61" s="1" t="n">
        <v>45511</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50528-2019</t>
        </is>
      </c>
      <c r="B62" s="1" t="n">
        <v>43735</v>
      </c>
      <c r="C62" s="1" t="n">
        <v>45511</v>
      </c>
      <c r="D62" t="inlineStr">
        <is>
          <t>DALARNAS LÄN</t>
        </is>
      </c>
      <c r="E62" t="inlineStr">
        <is>
          <t>ORSA</t>
        </is>
      </c>
      <c r="F62" t="inlineStr">
        <is>
          <t>Kyrkan</t>
        </is>
      </c>
      <c r="G62" t="n">
        <v>4.2</v>
      </c>
      <c r="H62" t="n">
        <v>0</v>
      </c>
      <c r="I62" t="n">
        <v>0</v>
      </c>
      <c r="J62" t="n">
        <v>0</v>
      </c>
      <c r="K62" t="n">
        <v>0</v>
      </c>
      <c r="L62" t="n">
        <v>0</v>
      </c>
      <c r="M62" t="n">
        <v>0</v>
      </c>
      <c r="N62" t="n">
        <v>0</v>
      </c>
      <c r="O62" t="n">
        <v>0</v>
      </c>
      <c r="P62" t="n">
        <v>0</v>
      </c>
      <c r="Q62" t="n">
        <v>0</v>
      </c>
      <c r="R62" s="2" t="inlineStr"/>
    </row>
    <row r="63" ht="15" customHeight="1">
      <c r="A63" t="inlineStr">
        <is>
          <t>A 50934-2019</t>
        </is>
      </c>
      <c r="B63" s="1" t="n">
        <v>43738</v>
      </c>
      <c r="C63" s="1" t="n">
        <v>45511</v>
      </c>
      <c r="D63" t="inlineStr">
        <is>
          <t>DALARNAS LÄN</t>
        </is>
      </c>
      <c r="E63" t="inlineStr">
        <is>
          <t>ORSA</t>
        </is>
      </c>
      <c r="F63" t="inlineStr">
        <is>
          <t>Allmännings- och besparingsskogar</t>
        </is>
      </c>
      <c r="G63" t="n">
        <v>11.4</v>
      </c>
      <c r="H63" t="n">
        <v>0</v>
      </c>
      <c r="I63" t="n">
        <v>0</v>
      </c>
      <c r="J63" t="n">
        <v>0</v>
      </c>
      <c r="K63" t="n">
        <v>0</v>
      </c>
      <c r="L63" t="n">
        <v>0</v>
      </c>
      <c r="M63" t="n">
        <v>0</v>
      </c>
      <c r="N63" t="n">
        <v>0</v>
      </c>
      <c r="O63" t="n">
        <v>0</v>
      </c>
      <c r="P63" t="n">
        <v>0</v>
      </c>
      <c r="Q63" t="n">
        <v>0</v>
      </c>
      <c r="R63" s="2" t="inlineStr"/>
    </row>
    <row r="64" ht="15" customHeight="1">
      <c r="A64" t="inlineStr">
        <is>
          <t>A 55522-2019</t>
        </is>
      </c>
      <c r="B64" s="1" t="n">
        <v>43759</v>
      </c>
      <c r="C64" s="1" t="n">
        <v>45511</v>
      </c>
      <c r="D64" t="inlineStr">
        <is>
          <t>DALARNAS LÄN</t>
        </is>
      </c>
      <c r="E64" t="inlineStr">
        <is>
          <t>ORSA</t>
        </is>
      </c>
      <c r="G64" t="n">
        <v>8.1</v>
      </c>
      <c r="H64" t="n">
        <v>0</v>
      </c>
      <c r="I64" t="n">
        <v>0</v>
      </c>
      <c r="J64" t="n">
        <v>0</v>
      </c>
      <c r="K64" t="n">
        <v>0</v>
      </c>
      <c r="L64" t="n">
        <v>0</v>
      </c>
      <c r="M64" t="n">
        <v>0</v>
      </c>
      <c r="N64" t="n">
        <v>0</v>
      </c>
      <c r="O64" t="n">
        <v>0</v>
      </c>
      <c r="P64" t="n">
        <v>0</v>
      </c>
      <c r="Q64" t="n">
        <v>0</v>
      </c>
      <c r="R64" s="2" t="inlineStr"/>
    </row>
    <row r="65" ht="15" customHeight="1">
      <c r="A65" t="inlineStr">
        <is>
          <t>A 56862-2019</t>
        </is>
      </c>
      <c r="B65" s="1" t="n">
        <v>43765</v>
      </c>
      <c r="C65" s="1" t="n">
        <v>45511</v>
      </c>
      <c r="D65" t="inlineStr">
        <is>
          <t>DALARNAS LÄN</t>
        </is>
      </c>
      <c r="E65" t="inlineStr">
        <is>
          <t>ORSA</t>
        </is>
      </c>
      <c r="G65" t="n">
        <v>4.4</v>
      </c>
      <c r="H65" t="n">
        <v>0</v>
      </c>
      <c r="I65" t="n">
        <v>0</v>
      </c>
      <c r="J65" t="n">
        <v>0</v>
      </c>
      <c r="K65" t="n">
        <v>0</v>
      </c>
      <c r="L65" t="n">
        <v>0</v>
      </c>
      <c r="M65" t="n">
        <v>0</v>
      </c>
      <c r="N65" t="n">
        <v>0</v>
      </c>
      <c r="O65" t="n">
        <v>0</v>
      </c>
      <c r="P65" t="n">
        <v>0</v>
      </c>
      <c r="Q65" t="n">
        <v>0</v>
      </c>
      <c r="R65" s="2" t="inlineStr"/>
    </row>
    <row r="66" ht="15" customHeight="1">
      <c r="A66" t="inlineStr">
        <is>
          <t>A 59007-2019</t>
        </is>
      </c>
      <c r="B66" s="1" t="n">
        <v>43774</v>
      </c>
      <c r="C66" s="1" t="n">
        <v>45511</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64389-2019</t>
        </is>
      </c>
      <c r="B67" s="1" t="n">
        <v>43797</v>
      </c>
      <c r="C67" s="1" t="n">
        <v>45511</v>
      </c>
      <c r="D67" t="inlineStr">
        <is>
          <t>DALARNAS LÄN</t>
        </is>
      </c>
      <c r="E67" t="inlineStr">
        <is>
          <t>ORSA</t>
        </is>
      </c>
      <c r="G67" t="n">
        <v>0.3</v>
      </c>
      <c r="H67" t="n">
        <v>0</v>
      </c>
      <c r="I67" t="n">
        <v>0</v>
      </c>
      <c r="J67" t="n">
        <v>0</v>
      </c>
      <c r="K67" t="n">
        <v>0</v>
      </c>
      <c r="L67" t="n">
        <v>0</v>
      </c>
      <c r="M67" t="n">
        <v>0</v>
      </c>
      <c r="N67" t="n">
        <v>0</v>
      </c>
      <c r="O67" t="n">
        <v>0</v>
      </c>
      <c r="P67" t="n">
        <v>0</v>
      </c>
      <c r="Q67" t="n">
        <v>0</v>
      </c>
      <c r="R67" s="2" t="inlineStr"/>
    </row>
    <row r="68" ht="15" customHeight="1">
      <c r="A68" t="inlineStr">
        <is>
          <t>A 65252-2019</t>
        </is>
      </c>
      <c r="B68" s="1" t="n">
        <v>43797</v>
      </c>
      <c r="C68" s="1" t="n">
        <v>45511</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67884-2019</t>
        </is>
      </c>
      <c r="B69" s="1" t="n">
        <v>43810</v>
      </c>
      <c r="C69" s="1" t="n">
        <v>45511</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66862-2019</t>
        </is>
      </c>
      <c r="B70" s="1" t="n">
        <v>43810</v>
      </c>
      <c r="C70" s="1" t="n">
        <v>45511</v>
      </c>
      <c r="D70" t="inlineStr">
        <is>
          <t>DALARNAS LÄN</t>
        </is>
      </c>
      <c r="E70" t="inlineStr">
        <is>
          <t>ORSA</t>
        </is>
      </c>
      <c r="G70" t="n">
        <v>2.4</v>
      </c>
      <c r="H70" t="n">
        <v>0</v>
      </c>
      <c r="I70" t="n">
        <v>0</v>
      </c>
      <c r="J70" t="n">
        <v>0</v>
      </c>
      <c r="K70" t="n">
        <v>0</v>
      </c>
      <c r="L70" t="n">
        <v>0</v>
      </c>
      <c r="M70" t="n">
        <v>0</v>
      </c>
      <c r="N70" t="n">
        <v>0</v>
      </c>
      <c r="O70" t="n">
        <v>0</v>
      </c>
      <c r="P70" t="n">
        <v>0</v>
      </c>
      <c r="Q70" t="n">
        <v>0</v>
      </c>
      <c r="R70" s="2" t="inlineStr"/>
    </row>
    <row r="71" ht="15" customHeight="1">
      <c r="A71" t="inlineStr">
        <is>
          <t>A 67295-2019</t>
        </is>
      </c>
      <c r="B71" s="1" t="n">
        <v>43811</v>
      </c>
      <c r="C71" s="1" t="n">
        <v>45511</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67878-2019</t>
        </is>
      </c>
      <c r="B72" s="1" t="n">
        <v>43816</v>
      </c>
      <c r="C72" s="1" t="n">
        <v>45511</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68558-2019</t>
        </is>
      </c>
      <c r="B73" s="1" t="n">
        <v>43818</v>
      </c>
      <c r="C73" s="1" t="n">
        <v>45511</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68376-2019</t>
        </is>
      </c>
      <c r="B74" s="1" t="n">
        <v>43818</v>
      </c>
      <c r="C74" s="1" t="n">
        <v>45511</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1829-2020</t>
        </is>
      </c>
      <c r="B75" s="1" t="n">
        <v>43844</v>
      </c>
      <c r="C75" s="1" t="n">
        <v>45511</v>
      </c>
      <c r="D75" t="inlineStr">
        <is>
          <t>DALARNAS LÄN</t>
        </is>
      </c>
      <c r="E75" t="inlineStr">
        <is>
          <t>ORSA</t>
        </is>
      </c>
      <c r="G75" t="n">
        <v>1</v>
      </c>
      <c r="H75" t="n">
        <v>0</v>
      </c>
      <c r="I75" t="n">
        <v>0</v>
      </c>
      <c r="J75" t="n">
        <v>0</v>
      </c>
      <c r="K75" t="n">
        <v>0</v>
      </c>
      <c r="L75" t="n">
        <v>0</v>
      </c>
      <c r="M75" t="n">
        <v>0</v>
      </c>
      <c r="N75" t="n">
        <v>0</v>
      </c>
      <c r="O75" t="n">
        <v>0</v>
      </c>
      <c r="P75" t="n">
        <v>0</v>
      </c>
      <c r="Q75" t="n">
        <v>0</v>
      </c>
      <c r="R75" s="2" t="inlineStr"/>
    </row>
    <row r="76" ht="15" customHeight="1">
      <c r="A76" t="inlineStr">
        <is>
          <t>A 3337-2020</t>
        </is>
      </c>
      <c r="B76" s="1" t="n">
        <v>43845</v>
      </c>
      <c r="C76" s="1" t="n">
        <v>45511</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2166-2020</t>
        </is>
      </c>
      <c r="B77" s="1" t="n">
        <v>43846</v>
      </c>
      <c r="C77" s="1" t="n">
        <v>45511</v>
      </c>
      <c r="D77" t="inlineStr">
        <is>
          <t>DALARNAS LÄN</t>
        </is>
      </c>
      <c r="E77" t="inlineStr">
        <is>
          <t>ORSA</t>
        </is>
      </c>
      <c r="G77" t="n">
        <v>11.2</v>
      </c>
      <c r="H77" t="n">
        <v>0</v>
      </c>
      <c r="I77" t="n">
        <v>0</v>
      </c>
      <c r="J77" t="n">
        <v>0</v>
      </c>
      <c r="K77" t="n">
        <v>0</v>
      </c>
      <c r="L77" t="n">
        <v>0</v>
      </c>
      <c r="M77" t="n">
        <v>0</v>
      </c>
      <c r="N77" t="n">
        <v>0</v>
      </c>
      <c r="O77" t="n">
        <v>0</v>
      </c>
      <c r="P77" t="n">
        <v>0</v>
      </c>
      <c r="Q77" t="n">
        <v>0</v>
      </c>
      <c r="R77" s="2" t="inlineStr"/>
    </row>
    <row r="78" ht="15" customHeight="1">
      <c r="A78" t="inlineStr">
        <is>
          <t>A 6597-2020</t>
        </is>
      </c>
      <c r="B78" s="1" t="n">
        <v>43865</v>
      </c>
      <c r="C78" s="1" t="n">
        <v>45511</v>
      </c>
      <c r="D78" t="inlineStr">
        <is>
          <t>DALARNAS LÄN</t>
        </is>
      </c>
      <c r="E78" t="inlineStr">
        <is>
          <t>ORSA</t>
        </is>
      </c>
      <c r="G78" t="n">
        <v>2</v>
      </c>
      <c r="H78" t="n">
        <v>0</v>
      </c>
      <c r="I78" t="n">
        <v>0</v>
      </c>
      <c r="J78" t="n">
        <v>0</v>
      </c>
      <c r="K78" t="n">
        <v>0</v>
      </c>
      <c r="L78" t="n">
        <v>0</v>
      </c>
      <c r="M78" t="n">
        <v>0</v>
      </c>
      <c r="N78" t="n">
        <v>0</v>
      </c>
      <c r="O78" t="n">
        <v>0</v>
      </c>
      <c r="P78" t="n">
        <v>0</v>
      </c>
      <c r="Q78" t="n">
        <v>0</v>
      </c>
      <c r="R78" s="2" t="inlineStr"/>
    </row>
    <row r="79" ht="15" customHeight="1">
      <c r="A79" t="inlineStr">
        <is>
          <t>A 7249-2020</t>
        </is>
      </c>
      <c r="B79" s="1" t="n">
        <v>43871</v>
      </c>
      <c r="C79" s="1" t="n">
        <v>45511</v>
      </c>
      <c r="D79" t="inlineStr">
        <is>
          <t>DALARNAS LÄN</t>
        </is>
      </c>
      <c r="E79" t="inlineStr">
        <is>
          <t>ORSA</t>
        </is>
      </c>
      <c r="G79" t="n">
        <v>8.300000000000001</v>
      </c>
      <c r="H79" t="n">
        <v>0</v>
      </c>
      <c r="I79" t="n">
        <v>0</v>
      </c>
      <c r="J79" t="n">
        <v>0</v>
      </c>
      <c r="K79" t="n">
        <v>0</v>
      </c>
      <c r="L79" t="n">
        <v>0</v>
      </c>
      <c r="M79" t="n">
        <v>0</v>
      </c>
      <c r="N79" t="n">
        <v>0</v>
      </c>
      <c r="O79" t="n">
        <v>0</v>
      </c>
      <c r="P79" t="n">
        <v>0</v>
      </c>
      <c r="Q79" t="n">
        <v>0</v>
      </c>
      <c r="R79" s="2" t="inlineStr"/>
    </row>
    <row r="80" ht="15" customHeight="1">
      <c r="A80" t="inlineStr">
        <is>
          <t>A 14947-2020</t>
        </is>
      </c>
      <c r="B80" s="1" t="n">
        <v>43906</v>
      </c>
      <c r="C80" s="1" t="n">
        <v>45511</v>
      </c>
      <c r="D80" t="inlineStr">
        <is>
          <t>DALARNAS LÄN</t>
        </is>
      </c>
      <c r="E80" t="inlineStr">
        <is>
          <t>ORSA</t>
        </is>
      </c>
      <c r="F80" t="inlineStr">
        <is>
          <t>Allmännings- och besparingsskogar</t>
        </is>
      </c>
      <c r="G80" t="n">
        <v>26.8</v>
      </c>
      <c r="H80" t="n">
        <v>0</v>
      </c>
      <c r="I80" t="n">
        <v>0</v>
      </c>
      <c r="J80" t="n">
        <v>0</v>
      </c>
      <c r="K80" t="n">
        <v>0</v>
      </c>
      <c r="L80" t="n">
        <v>0</v>
      </c>
      <c r="M80" t="n">
        <v>0</v>
      </c>
      <c r="N80" t="n">
        <v>0</v>
      </c>
      <c r="O80" t="n">
        <v>0</v>
      </c>
      <c r="P80" t="n">
        <v>0</v>
      </c>
      <c r="Q80" t="n">
        <v>0</v>
      </c>
      <c r="R80" s="2" t="inlineStr"/>
    </row>
    <row r="81" ht="15" customHeight="1">
      <c r="A81" t="inlineStr">
        <is>
          <t>A 14682-2020</t>
        </is>
      </c>
      <c r="B81" s="1" t="n">
        <v>43909</v>
      </c>
      <c r="C81" s="1" t="n">
        <v>45511</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17406-2020</t>
        </is>
      </c>
      <c r="B82" s="1" t="n">
        <v>43923</v>
      </c>
      <c r="C82" s="1" t="n">
        <v>45511</v>
      </c>
      <c r="D82" t="inlineStr">
        <is>
          <t>DALARNAS LÄN</t>
        </is>
      </c>
      <c r="E82" t="inlineStr">
        <is>
          <t>ORSA</t>
        </is>
      </c>
      <c r="F82" t="inlineStr">
        <is>
          <t>Allmännings- och besparingsskogar</t>
        </is>
      </c>
      <c r="G82" t="n">
        <v>89.8</v>
      </c>
      <c r="H82" t="n">
        <v>0</v>
      </c>
      <c r="I82" t="n">
        <v>0</v>
      </c>
      <c r="J82" t="n">
        <v>0</v>
      </c>
      <c r="K82" t="n">
        <v>0</v>
      </c>
      <c r="L82" t="n">
        <v>0</v>
      </c>
      <c r="M82" t="n">
        <v>0</v>
      </c>
      <c r="N82" t="n">
        <v>0</v>
      </c>
      <c r="O82" t="n">
        <v>0</v>
      </c>
      <c r="P82" t="n">
        <v>0</v>
      </c>
      <c r="Q82" t="n">
        <v>0</v>
      </c>
      <c r="R82" s="2" t="inlineStr"/>
    </row>
    <row r="83" ht="15" customHeight="1">
      <c r="A83" t="inlineStr">
        <is>
          <t>A 19208-2020</t>
        </is>
      </c>
      <c r="B83" s="1" t="n">
        <v>43937</v>
      </c>
      <c r="C83" s="1" t="n">
        <v>45511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19404-2020</t>
        </is>
      </c>
      <c r="B84" s="1" t="n">
        <v>43938</v>
      </c>
      <c r="C84" s="1" t="n">
        <v>45511</v>
      </c>
      <c r="D84" t="inlineStr">
        <is>
          <t>DALARNAS LÄN</t>
        </is>
      </c>
      <c r="E84" t="inlineStr">
        <is>
          <t>ORSA</t>
        </is>
      </c>
      <c r="G84" t="n">
        <v>1</v>
      </c>
      <c r="H84" t="n">
        <v>0</v>
      </c>
      <c r="I84" t="n">
        <v>0</v>
      </c>
      <c r="J84" t="n">
        <v>0</v>
      </c>
      <c r="K84" t="n">
        <v>0</v>
      </c>
      <c r="L84" t="n">
        <v>0</v>
      </c>
      <c r="M84" t="n">
        <v>0</v>
      </c>
      <c r="N84" t="n">
        <v>0</v>
      </c>
      <c r="O84" t="n">
        <v>0</v>
      </c>
      <c r="P84" t="n">
        <v>0</v>
      </c>
      <c r="Q84" t="n">
        <v>0</v>
      </c>
      <c r="R84" s="2" t="inlineStr"/>
    </row>
    <row r="85" ht="15" customHeight="1">
      <c r="A85" t="inlineStr">
        <is>
          <t>A 20590-2020</t>
        </is>
      </c>
      <c r="B85" s="1" t="n">
        <v>43948</v>
      </c>
      <c r="C85" s="1" t="n">
        <v>45511</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21057-2020</t>
        </is>
      </c>
      <c r="B86" s="1" t="n">
        <v>43951</v>
      </c>
      <c r="C86" s="1" t="n">
        <v>45511</v>
      </c>
      <c r="D86" t="inlineStr">
        <is>
          <t>DALARNAS LÄN</t>
        </is>
      </c>
      <c r="E86" t="inlineStr">
        <is>
          <t>ORSA</t>
        </is>
      </c>
      <c r="G86" t="n">
        <v>2.2</v>
      </c>
      <c r="H86" t="n">
        <v>0</v>
      </c>
      <c r="I86" t="n">
        <v>0</v>
      </c>
      <c r="J86" t="n">
        <v>0</v>
      </c>
      <c r="K86" t="n">
        <v>0</v>
      </c>
      <c r="L86" t="n">
        <v>0</v>
      </c>
      <c r="M86" t="n">
        <v>0</v>
      </c>
      <c r="N86" t="n">
        <v>0</v>
      </c>
      <c r="O86" t="n">
        <v>0</v>
      </c>
      <c r="P86" t="n">
        <v>0</v>
      </c>
      <c r="Q86" t="n">
        <v>0</v>
      </c>
      <c r="R86" s="2" t="inlineStr"/>
    </row>
    <row r="87" ht="15" customHeight="1">
      <c r="A87" t="inlineStr">
        <is>
          <t>A 22785-2020</t>
        </is>
      </c>
      <c r="B87" s="1" t="n">
        <v>43964</v>
      </c>
      <c r="C87" s="1" t="n">
        <v>45511</v>
      </c>
      <c r="D87" t="inlineStr">
        <is>
          <t>DALARNAS LÄN</t>
        </is>
      </c>
      <c r="E87" t="inlineStr">
        <is>
          <t>ORSA</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23746-2020</t>
        </is>
      </c>
      <c r="B88" s="1" t="n">
        <v>43970</v>
      </c>
      <c r="C88" s="1" t="n">
        <v>45511</v>
      </c>
      <c r="D88" t="inlineStr">
        <is>
          <t>DALARNAS LÄN</t>
        </is>
      </c>
      <c r="E88" t="inlineStr">
        <is>
          <t>ORSA</t>
        </is>
      </c>
      <c r="F88" t="inlineStr">
        <is>
          <t>Allmännings- och besparingsskogar</t>
        </is>
      </c>
      <c r="G88" t="n">
        <v>13.9</v>
      </c>
      <c r="H88" t="n">
        <v>0</v>
      </c>
      <c r="I88" t="n">
        <v>0</v>
      </c>
      <c r="J88" t="n">
        <v>0</v>
      </c>
      <c r="K88" t="n">
        <v>0</v>
      </c>
      <c r="L88" t="n">
        <v>0</v>
      </c>
      <c r="M88" t="n">
        <v>0</v>
      </c>
      <c r="N88" t="n">
        <v>0</v>
      </c>
      <c r="O88" t="n">
        <v>0</v>
      </c>
      <c r="P88" t="n">
        <v>0</v>
      </c>
      <c r="Q88" t="n">
        <v>0</v>
      </c>
      <c r="R88" s="2" t="inlineStr"/>
    </row>
    <row r="89" ht="15" customHeight="1">
      <c r="A89" t="inlineStr">
        <is>
          <t>A 23766-2020</t>
        </is>
      </c>
      <c r="B89" s="1" t="n">
        <v>43970</v>
      </c>
      <c r="C89" s="1" t="n">
        <v>45511</v>
      </c>
      <c r="D89" t="inlineStr">
        <is>
          <t>DALARNAS LÄN</t>
        </is>
      </c>
      <c r="E89" t="inlineStr">
        <is>
          <t>ORSA</t>
        </is>
      </c>
      <c r="F89" t="inlineStr">
        <is>
          <t>Bergvik skog öst AB</t>
        </is>
      </c>
      <c r="G89" t="n">
        <v>1.6</v>
      </c>
      <c r="H89" t="n">
        <v>0</v>
      </c>
      <c r="I89" t="n">
        <v>0</v>
      </c>
      <c r="J89" t="n">
        <v>0</v>
      </c>
      <c r="K89" t="n">
        <v>0</v>
      </c>
      <c r="L89" t="n">
        <v>0</v>
      </c>
      <c r="M89" t="n">
        <v>0</v>
      </c>
      <c r="N89" t="n">
        <v>0</v>
      </c>
      <c r="O89" t="n">
        <v>0</v>
      </c>
      <c r="P89" t="n">
        <v>0</v>
      </c>
      <c r="Q89" t="n">
        <v>0</v>
      </c>
      <c r="R89" s="2" t="inlineStr"/>
    </row>
    <row r="90" ht="15" customHeight="1">
      <c r="A90" t="inlineStr">
        <is>
          <t>A 25664-2020</t>
        </is>
      </c>
      <c r="B90" s="1" t="n">
        <v>43983</v>
      </c>
      <c r="C90" s="1" t="n">
        <v>45511</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27436-2020</t>
        </is>
      </c>
      <c r="B91" s="1" t="n">
        <v>43993</v>
      </c>
      <c r="C91" s="1" t="n">
        <v>45511</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27945-2020</t>
        </is>
      </c>
      <c r="B92" s="1" t="n">
        <v>43997</v>
      </c>
      <c r="C92" s="1" t="n">
        <v>45511</v>
      </c>
      <c r="D92" t="inlineStr">
        <is>
          <t>DALARNAS LÄN</t>
        </is>
      </c>
      <c r="E92" t="inlineStr">
        <is>
          <t>ORSA</t>
        </is>
      </c>
      <c r="F92" t="inlineStr">
        <is>
          <t>Bergvik skog öst AB</t>
        </is>
      </c>
      <c r="G92" t="n">
        <v>0.8</v>
      </c>
      <c r="H92" t="n">
        <v>0</v>
      </c>
      <c r="I92" t="n">
        <v>0</v>
      </c>
      <c r="J92" t="n">
        <v>0</v>
      </c>
      <c r="K92" t="n">
        <v>0</v>
      </c>
      <c r="L92" t="n">
        <v>0</v>
      </c>
      <c r="M92" t="n">
        <v>0</v>
      </c>
      <c r="N92" t="n">
        <v>0</v>
      </c>
      <c r="O92" t="n">
        <v>0</v>
      </c>
      <c r="P92" t="n">
        <v>0</v>
      </c>
      <c r="Q92" t="n">
        <v>0</v>
      </c>
      <c r="R92" s="2" t="inlineStr"/>
    </row>
    <row r="93" ht="15" customHeight="1">
      <c r="A93" t="inlineStr">
        <is>
          <t>A 30153-2020</t>
        </is>
      </c>
      <c r="B93" s="1" t="n">
        <v>44007</v>
      </c>
      <c r="C93" s="1" t="n">
        <v>45511</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30149-2020</t>
        </is>
      </c>
      <c r="B94" s="1" t="n">
        <v>44007</v>
      </c>
      <c r="C94" s="1" t="n">
        <v>45511</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30672-2020</t>
        </is>
      </c>
      <c r="B95" s="1" t="n">
        <v>44008</v>
      </c>
      <c r="C95" s="1" t="n">
        <v>45511</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32096-2020</t>
        </is>
      </c>
      <c r="B96" s="1" t="n">
        <v>44015</v>
      </c>
      <c r="C96" s="1" t="n">
        <v>45511</v>
      </c>
      <c r="D96" t="inlineStr">
        <is>
          <t>DALARNAS LÄN</t>
        </is>
      </c>
      <c r="E96" t="inlineStr">
        <is>
          <t>ORSA</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32628-2020</t>
        </is>
      </c>
      <c r="B97" s="1" t="n">
        <v>44019</v>
      </c>
      <c r="C97" s="1" t="n">
        <v>45511</v>
      </c>
      <c r="D97" t="inlineStr">
        <is>
          <t>DALARNAS LÄN</t>
        </is>
      </c>
      <c r="E97" t="inlineStr">
        <is>
          <t>ORSA</t>
        </is>
      </c>
      <c r="F97" t="inlineStr">
        <is>
          <t>Bergvik skog öst AB</t>
        </is>
      </c>
      <c r="G97" t="n">
        <v>1.7</v>
      </c>
      <c r="H97" t="n">
        <v>0</v>
      </c>
      <c r="I97" t="n">
        <v>0</v>
      </c>
      <c r="J97" t="n">
        <v>0</v>
      </c>
      <c r="K97" t="n">
        <v>0</v>
      </c>
      <c r="L97" t="n">
        <v>0</v>
      </c>
      <c r="M97" t="n">
        <v>0</v>
      </c>
      <c r="N97" t="n">
        <v>0</v>
      </c>
      <c r="O97" t="n">
        <v>0</v>
      </c>
      <c r="P97" t="n">
        <v>0</v>
      </c>
      <c r="Q97" t="n">
        <v>0</v>
      </c>
      <c r="R97" s="2" t="inlineStr"/>
    </row>
    <row r="98" ht="15" customHeight="1">
      <c r="A98" t="inlineStr">
        <is>
          <t>A 34544-2020</t>
        </is>
      </c>
      <c r="B98" s="1" t="n">
        <v>44032</v>
      </c>
      <c r="C98" s="1" t="n">
        <v>45511</v>
      </c>
      <c r="D98" t="inlineStr">
        <is>
          <t>DALARNAS LÄN</t>
        </is>
      </c>
      <c r="E98" t="inlineStr">
        <is>
          <t>ORSA</t>
        </is>
      </c>
      <c r="G98" t="n">
        <v>3.2</v>
      </c>
      <c r="H98" t="n">
        <v>0</v>
      </c>
      <c r="I98" t="n">
        <v>0</v>
      </c>
      <c r="J98" t="n">
        <v>0</v>
      </c>
      <c r="K98" t="n">
        <v>0</v>
      </c>
      <c r="L98" t="n">
        <v>0</v>
      </c>
      <c r="M98" t="n">
        <v>0</v>
      </c>
      <c r="N98" t="n">
        <v>0</v>
      </c>
      <c r="O98" t="n">
        <v>0</v>
      </c>
      <c r="P98" t="n">
        <v>0</v>
      </c>
      <c r="Q98" t="n">
        <v>0</v>
      </c>
      <c r="R98" s="2" t="inlineStr"/>
    </row>
    <row r="99" ht="15" customHeight="1">
      <c r="A99" t="inlineStr">
        <is>
          <t>A 34986-2020</t>
        </is>
      </c>
      <c r="B99" s="1" t="n">
        <v>44039</v>
      </c>
      <c r="C99" s="1" t="n">
        <v>45511</v>
      </c>
      <c r="D99" t="inlineStr">
        <is>
          <t>DALARNAS LÄN</t>
        </is>
      </c>
      <c r="E99" t="inlineStr">
        <is>
          <t>ORSA</t>
        </is>
      </c>
      <c r="F99" t="inlineStr">
        <is>
          <t>Bergvik skog öst AB</t>
        </is>
      </c>
      <c r="G99" t="n">
        <v>1.4</v>
      </c>
      <c r="H99" t="n">
        <v>0</v>
      </c>
      <c r="I99" t="n">
        <v>0</v>
      </c>
      <c r="J99" t="n">
        <v>0</v>
      </c>
      <c r="K99" t="n">
        <v>0</v>
      </c>
      <c r="L99" t="n">
        <v>0</v>
      </c>
      <c r="M99" t="n">
        <v>0</v>
      </c>
      <c r="N99" t="n">
        <v>0</v>
      </c>
      <c r="O99" t="n">
        <v>0</v>
      </c>
      <c r="P99" t="n">
        <v>0</v>
      </c>
      <c r="Q99" t="n">
        <v>0</v>
      </c>
      <c r="R99" s="2" t="inlineStr"/>
    </row>
    <row r="100" ht="15" customHeight="1">
      <c r="A100" t="inlineStr">
        <is>
          <t>A 36822-2020</t>
        </is>
      </c>
      <c r="B100" s="1" t="n">
        <v>44053</v>
      </c>
      <c r="C100" s="1" t="n">
        <v>45511</v>
      </c>
      <c r="D100" t="inlineStr">
        <is>
          <t>DALARNAS LÄN</t>
        </is>
      </c>
      <c r="E100" t="inlineStr">
        <is>
          <t>ORSA</t>
        </is>
      </c>
      <c r="F100" t="inlineStr">
        <is>
          <t>Bergvik skog öst AB</t>
        </is>
      </c>
      <c r="G100" t="n">
        <v>1.2</v>
      </c>
      <c r="H100" t="n">
        <v>0</v>
      </c>
      <c r="I100" t="n">
        <v>0</v>
      </c>
      <c r="J100" t="n">
        <v>0</v>
      </c>
      <c r="K100" t="n">
        <v>0</v>
      </c>
      <c r="L100" t="n">
        <v>0</v>
      </c>
      <c r="M100" t="n">
        <v>0</v>
      </c>
      <c r="N100" t="n">
        <v>0</v>
      </c>
      <c r="O100" t="n">
        <v>0</v>
      </c>
      <c r="P100" t="n">
        <v>0</v>
      </c>
      <c r="Q100" t="n">
        <v>0</v>
      </c>
      <c r="R100" s="2" t="inlineStr"/>
    </row>
    <row r="101" ht="15" customHeight="1">
      <c r="A101" t="inlineStr">
        <is>
          <t>A 36919-2020</t>
        </is>
      </c>
      <c r="B101" s="1" t="n">
        <v>44053</v>
      </c>
      <c r="C101" s="1" t="n">
        <v>45511</v>
      </c>
      <c r="D101" t="inlineStr">
        <is>
          <t>DALARNAS LÄN</t>
        </is>
      </c>
      <c r="E101" t="inlineStr">
        <is>
          <t>ORSA</t>
        </is>
      </c>
      <c r="F101" t="inlineStr">
        <is>
          <t>Bergvik skog öst AB</t>
        </is>
      </c>
      <c r="G101" t="n">
        <v>1.6</v>
      </c>
      <c r="H101" t="n">
        <v>0</v>
      </c>
      <c r="I101" t="n">
        <v>0</v>
      </c>
      <c r="J101" t="n">
        <v>0</v>
      </c>
      <c r="K101" t="n">
        <v>0</v>
      </c>
      <c r="L101" t="n">
        <v>0</v>
      </c>
      <c r="M101" t="n">
        <v>0</v>
      </c>
      <c r="N101" t="n">
        <v>0</v>
      </c>
      <c r="O101" t="n">
        <v>0</v>
      </c>
      <c r="P101" t="n">
        <v>0</v>
      </c>
      <c r="Q101" t="n">
        <v>0</v>
      </c>
      <c r="R101" s="2" t="inlineStr"/>
    </row>
    <row r="102" ht="15" customHeight="1">
      <c r="A102" t="inlineStr">
        <is>
          <t>A 39969-2020</t>
        </is>
      </c>
      <c r="B102" s="1" t="n">
        <v>44067</v>
      </c>
      <c r="C102" s="1" t="n">
        <v>45511</v>
      </c>
      <c r="D102" t="inlineStr">
        <is>
          <t>DALARNAS LÄN</t>
        </is>
      </c>
      <c r="E102" t="inlineStr">
        <is>
          <t>ORSA</t>
        </is>
      </c>
      <c r="G102" t="n">
        <v>1.5</v>
      </c>
      <c r="H102" t="n">
        <v>0</v>
      </c>
      <c r="I102" t="n">
        <v>0</v>
      </c>
      <c r="J102" t="n">
        <v>0</v>
      </c>
      <c r="K102" t="n">
        <v>0</v>
      </c>
      <c r="L102" t="n">
        <v>0</v>
      </c>
      <c r="M102" t="n">
        <v>0</v>
      </c>
      <c r="N102" t="n">
        <v>0</v>
      </c>
      <c r="O102" t="n">
        <v>0</v>
      </c>
      <c r="P102" t="n">
        <v>0</v>
      </c>
      <c r="Q102" t="n">
        <v>0</v>
      </c>
      <c r="R102" s="2" t="inlineStr"/>
    </row>
    <row r="103" ht="15" customHeight="1">
      <c r="A103" t="inlineStr">
        <is>
          <t>A 41079-2020</t>
        </is>
      </c>
      <c r="B103" s="1" t="n">
        <v>44071</v>
      </c>
      <c r="C103" s="1" t="n">
        <v>45511</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48954-2020</t>
        </is>
      </c>
      <c r="B104" s="1" t="n">
        <v>44102</v>
      </c>
      <c r="C104" s="1" t="n">
        <v>45511</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48956-2020</t>
        </is>
      </c>
      <c r="B105" s="1" t="n">
        <v>44102</v>
      </c>
      <c r="C105" s="1" t="n">
        <v>45511</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51094-2020</t>
        </is>
      </c>
      <c r="B106" s="1" t="n">
        <v>44112</v>
      </c>
      <c r="C106" s="1" t="n">
        <v>45511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52495-2020</t>
        </is>
      </c>
      <c r="B107" s="1" t="n">
        <v>44116</v>
      </c>
      <c r="C107" s="1" t="n">
        <v>45511</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55447-2020</t>
        </is>
      </c>
      <c r="B108" s="1" t="n">
        <v>44131</v>
      </c>
      <c r="C108" s="1" t="n">
        <v>45511</v>
      </c>
      <c r="D108" t="inlineStr">
        <is>
          <t>DALARNAS LÄN</t>
        </is>
      </c>
      <c r="E108" t="inlineStr">
        <is>
          <t>ORSA</t>
        </is>
      </c>
      <c r="F108" t="inlineStr">
        <is>
          <t>Bergvik skog öst AB</t>
        </is>
      </c>
      <c r="G108" t="n">
        <v>3.1</v>
      </c>
      <c r="H108" t="n">
        <v>0</v>
      </c>
      <c r="I108" t="n">
        <v>0</v>
      </c>
      <c r="J108" t="n">
        <v>0</v>
      </c>
      <c r="K108" t="n">
        <v>0</v>
      </c>
      <c r="L108" t="n">
        <v>0</v>
      </c>
      <c r="M108" t="n">
        <v>0</v>
      </c>
      <c r="N108" t="n">
        <v>0</v>
      </c>
      <c r="O108" t="n">
        <v>0</v>
      </c>
      <c r="P108" t="n">
        <v>0</v>
      </c>
      <c r="Q108" t="n">
        <v>0</v>
      </c>
      <c r="R108" s="2" t="inlineStr"/>
    </row>
    <row r="109" ht="15" customHeight="1">
      <c r="A109" t="inlineStr">
        <is>
          <t>A 57765-2020</t>
        </is>
      </c>
      <c r="B109" s="1" t="n">
        <v>44141</v>
      </c>
      <c r="C109" s="1" t="n">
        <v>45511</v>
      </c>
      <c r="D109" t="inlineStr">
        <is>
          <t>DALARNAS LÄN</t>
        </is>
      </c>
      <c r="E109" t="inlineStr">
        <is>
          <t>ORSA</t>
        </is>
      </c>
      <c r="F109" t="inlineStr">
        <is>
          <t>Bergvik skog öst AB</t>
        </is>
      </c>
      <c r="G109" t="n">
        <v>3.7</v>
      </c>
      <c r="H109" t="n">
        <v>0</v>
      </c>
      <c r="I109" t="n">
        <v>0</v>
      </c>
      <c r="J109" t="n">
        <v>0</v>
      </c>
      <c r="K109" t="n">
        <v>0</v>
      </c>
      <c r="L109" t="n">
        <v>0</v>
      </c>
      <c r="M109" t="n">
        <v>0</v>
      </c>
      <c r="N109" t="n">
        <v>0</v>
      </c>
      <c r="O109" t="n">
        <v>0</v>
      </c>
      <c r="P109" t="n">
        <v>0</v>
      </c>
      <c r="Q109" t="n">
        <v>0</v>
      </c>
      <c r="R109" s="2" t="inlineStr"/>
    </row>
    <row r="110" ht="15" customHeight="1">
      <c r="A110" t="inlineStr">
        <is>
          <t>A 58556-2020</t>
        </is>
      </c>
      <c r="B110" s="1" t="n">
        <v>44145</v>
      </c>
      <c r="C110" s="1" t="n">
        <v>45511</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61699-2020</t>
        </is>
      </c>
      <c r="B111" s="1" t="n">
        <v>44158</v>
      </c>
      <c r="C111" s="1" t="n">
        <v>45511</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62379-2020</t>
        </is>
      </c>
      <c r="B112" s="1" t="n">
        <v>44160</v>
      </c>
      <c r="C112" s="1" t="n">
        <v>45511</v>
      </c>
      <c r="D112" t="inlineStr">
        <is>
          <t>DALARNAS LÄN</t>
        </is>
      </c>
      <c r="E112" t="inlineStr">
        <is>
          <t>ORSA</t>
        </is>
      </c>
      <c r="F112" t="inlineStr">
        <is>
          <t>Bergvik skog öst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63367-2020</t>
        </is>
      </c>
      <c r="B113" s="1" t="n">
        <v>44160</v>
      </c>
      <c r="C113" s="1" t="n">
        <v>45511</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63374-2020</t>
        </is>
      </c>
      <c r="B114" s="1" t="n">
        <v>44160</v>
      </c>
      <c r="C114" s="1" t="n">
        <v>45511</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63543-2020</t>
        </is>
      </c>
      <c r="B115" s="1" t="n">
        <v>44165</v>
      </c>
      <c r="C115" s="1" t="n">
        <v>45511</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66323-2020</t>
        </is>
      </c>
      <c r="B116" s="1" t="n">
        <v>44176</v>
      </c>
      <c r="C116" s="1" t="n">
        <v>45511</v>
      </c>
      <c r="D116" t="inlineStr">
        <is>
          <t>DALARNAS LÄN</t>
        </is>
      </c>
      <c r="E116" t="inlineStr">
        <is>
          <t>ORSA</t>
        </is>
      </c>
      <c r="G116" t="n">
        <v>3.1</v>
      </c>
      <c r="H116" t="n">
        <v>0</v>
      </c>
      <c r="I116" t="n">
        <v>0</v>
      </c>
      <c r="J116" t="n">
        <v>0</v>
      </c>
      <c r="K116" t="n">
        <v>0</v>
      </c>
      <c r="L116" t="n">
        <v>0</v>
      </c>
      <c r="M116" t="n">
        <v>0</v>
      </c>
      <c r="N116" t="n">
        <v>0</v>
      </c>
      <c r="O116" t="n">
        <v>0</v>
      </c>
      <c r="P116" t="n">
        <v>0</v>
      </c>
      <c r="Q116" t="n">
        <v>0</v>
      </c>
      <c r="R116" s="2" t="inlineStr"/>
    </row>
    <row r="117" ht="15" customHeight="1">
      <c r="A117" t="inlineStr">
        <is>
          <t>A 66536-2020</t>
        </is>
      </c>
      <c r="B117" s="1" t="n">
        <v>44179</v>
      </c>
      <c r="C117" s="1" t="n">
        <v>45511</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66567-2020</t>
        </is>
      </c>
      <c r="B118" s="1" t="n">
        <v>44179</v>
      </c>
      <c r="C118" s="1" t="n">
        <v>45511</v>
      </c>
      <c r="D118" t="inlineStr">
        <is>
          <t>DALARNAS LÄN</t>
        </is>
      </c>
      <c r="E118" t="inlineStr">
        <is>
          <t>ORSA</t>
        </is>
      </c>
      <c r="G118" t="n">
        <v>7.8</v>
      </c>
      <c r="H118" t="n">
        <v>0</v>
      </c>
      <c r="I118" t="n">
        <v>0</v>
      </c>
      <c r="J118" t="n">
        <v>0</v>
      </c>
      <c r="K118" t="n">
        <v>0</v>
      </c>
      <c r="L118" t="n">
        <v>0</v>
      </c>
      <c r="M118" t="n">
        <v>0</v>
      </c>
      <c r="N118" t="n">
        <v>0</v>
      </c>
      <c r="O118" t="n">
        <v>0</v>
      </c>
      <c r="P118" t="n">
        <v>0</v>
      </c>
      <c r="Q118" t="n">
        <v>0</v>
      </c>
      <c r="R118" s="2" t="inlineStr"/>
    </row>
    <row r="119" ht="15" customHeight="1">
      <c r="A119" t="inlineStr">
        <is>
          <t>A 66533-2020</t>
        </is>
      </c>
      <c r="B119" s="1" t="n">
        <v>44179</v>
      </c>
      <c r="C119" s="1" t="n">
        <v>45511</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66593-2020</t>
        </is>
      </c>
      <c r="B120" s="1" t="n">
        <v>44179</v>
      </c>
      <c r="C120" s="1" t="n">
        <v>45511</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45511</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67755-2020</t>
        </is>
      </c>
      <c r="B122" s="1" t="n">
        <v>44182</v>
      </c>
      <c r="C122" s="1" t="n">
        <v>45511</v>
      </c>
      <c r="D122" t="inlineStr">
        <is>
          <t>DALARNAS LÄN</t>
        </is>
      </c>
      <c r="E122" t="inlineStr">
        <is>
          <t>ORSA</t>
        </is>
      </c>
      <c r="G122" t="n">
        <v>7.5</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45511</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67842-2020</t>
        </is>
      </c>
      <c r="B124" s="1" t="n">
        <v>44182</v>
      </c>
      <c r="C124" s="1" t="n">
        <v>45511</v>
      </c>
      <c r="D124" t="inlineStr">
        <is>
          <t>DALARNAS LÄN</t>
        </is>
      </c>
      <c r="E124" t="inlineStr">
        <is>
          <t>ORSA</t>
        </is>
      </c>
      <c r="G124" t="n">
        <v>10.6</v>
      </c>
      <c r="H124" t="n">
        <v>0</v>
      </c>
      <c r="I124" t="n">
        <v>0</v>
      </c>
      <c r="J124" t="n">
        <v>0</v>
      </c>
      <c r="K124" t="n">
        <v>0</v>
      </c>
      <c r="L124" t="n">
        <v>0</v>
      </c>
      <c r="M124" t="n">
        <v>0</v>
      </c>
      <c r="N124" t="n">
        <v>0</v>
      </c>
      <c r="O124" t="n">
        <v>0</v>
      </c>
      <c r="P124" t="n">
        <v>0</v>
      </c>
      <c r="Q124" t="n">
        <v>0</v>
      </c>
      <c r="R124" s="2" t="inlineStr"/>
    </row>
    <row r="125" ht="15" customHeight="1">
      <c r="A125" t="inlineStr">
        <is>
          <t>A 67950-2020</t>
        </is>
      </c>
      <c r="B125" s="1" t="n">
        <v>44182</v>
      </c>
      <c r="C125" s="1" t="n">
        <v>45511</v>
      </c>
      <c r="D125" t="inlineStr">
        <is>
          <t>DALARNAS LÄN</t>
        </is>
      </c>
      <c r="E125" t="inlineStr">
        <is>
          <t>ORSA</t>
        </is>
      </c>
      <c r="G125" t="n">
        <v>1.1</v>
      </c>
      <c r="H125" t="n">
        <v>0</v>
      </c>
      <c r="I125" t="n">
        <v>0</v>
      </c>
      <c r="J125" t="n">
        <v>0</v>
      </c>
      <c r="K125" t="n">
        <v>0</v>
      </c>
      <c r="L125" t="n">
        <v>0</v>
      </c>
      <c r="M125" t="n">
        <v>0</v>
      </c>
      <c r="N125" t="n">
        <v>0</v>
      </c>
      <c r="O125" t="n">
        <v>0</v>
      </c>
      <c r="P125" t="n">
        <v>0</v>
      </c>
      <c r="Q125" t="n">
        <v>0</v>
      </c>
      <c r="R125" s="2" t="inlineStr"/>
    </row>
    <row r="126" ht="15" customHeight="1">
      <c r="A126" t="inlineStr">
        <is>
          <t>A 67971-2020</t>
        </is>
      </c>
      <c r="B126" s="1" t="n">
        <v>44182</v>
      </c>
      <c r="C126" s="1" t="n">
        <v>45511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67911-2020</t>
        </is>
      </c>
      <c r="B127" s="1" t="n">
        <v>44182</v>
      </c>
      <c r="C127" s="1" t="n">
        <v>45511</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67929-2020</t>
        </is>
      </c>
      <c r="B128" s="1" t="n">
        <v>44182</v>
      </c>
      <c r="C128" s="1" t="n">
        <v>45511</v>
      </c>
      <c r="D128" t="inlineStr">
        <is>
          <t>DALARNAS LÄN</t>
        </is>
      </c>
      <c r="E128" t="inlineStr">
        <is>
          <t>ORSA</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67935-2020</t>
        </is>
      </c>
      <c r="B129" s="1" t="n">
        <v>44182</v>
      </c>
      <c r="C129" s="1" t="n">
        <v>45511</v>
      </c>
      <c r="D129" t="inlineStr">
        <is>
          <t>DALARNAS LÄN</t>
        </is>
      </c>
      <c r="E129" t="inlineStr">
        <is>
          <t>ORSA</t>
        </is>
      </c>
      <c r="G129" t="n">
        <v>5</v>
      </c>
      <c r="H129" t="n">
        <v>0</v>
      </c>
      <c r="I129" t="n">
        <v>0</v>
      </c>
      <c r="J129" t="n">
        <v>0</v>
      </c>
      <c r="K129" t="n">
        <v>0</v>
      </c>
      <c r="L129" t="n">
        <v>0</v>
      </c>
      <c r="M129" t="n">
        <v>0</v>
      </c>
      <c r="N129" t="n">
        <v>0</v>
      </c>
      <c r="O129" t="n">
        <v>0</v>
      </c>
      <c r="P129" t="n">
        <v>0</v>
      </c>
      <c r="Q129" t="n">
        <v>0</v>
      </c>
      <c r="R129" s="2" t="inlineStr"/>
    </row>
    <row r="130" ht="15" customHeight="1">
      <c r="A130" t="inlineStr">
        <is>
          <t>A 112-2021</t>
        </is>
      </c>
      <c r="B130" s="1" t="n">
        <v>44200</v>
      </c>
      <c r="C130" s="1" t="n">
        <v>45511</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2112-2021</t>
        </is>
      </c>
      <c r="B131" s="1" t="n">
        <v>44211</v>
      </c>
      <c r="C131" s="1" t="n">
        <v>45511</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3452-2021</t>
        </is>
      </c>
      <c r="B132" s="1" t="n">
        <v>44218</v>
      </c>
      <c r="C132" s="1" t="n">
        <v>45511</v>
      </c>
      <c r="D132" t="inlineStr">
        <is>
          <t>DALARNAS LÄN</t>
        </is>
      </c>
      <c r="E132" t="inlineStr">
        <is>
          <t>ORSA</t>
        </is>
      </c>
      <c r="G132" t="n">
        <v>12.5</v>
      </c>
      <c r="H132" t="n">
        <v>0</v>
      </c>
      <c r="I132" t="n">
        <v>0</v>
      </c>
      <c r="J132" t="n">
        <v>0</v>
      </c>
      <c r="K132" t="n">
        <v>0</v>
      </c>
      <c r="L132" t="n">
        <v>0</v>
      </c>
      <c r="M132" t="n">
        <v>0</v>
      </c>
      <c r="N132" t="n">
        <v>0</v>
      </c>
      <c r="O132" t="n">
        <v>0</v>
      </c>
      <c r="P132" t="n">
        <v>0</v>
      </c>
      <c r="Q132" t="n">
        <v>0</v>
      </c>
      <c r="R132" s="2" t="inlineStr"/>
    </row>
    <row r="133" ht="15" customHeight="1">
      <c r="A133" t="inlineStr">
        <is>
          <t>A 3421-2021</t>
        </is>
      </c>
      <c r="B133" s="1" t="n">
        <v>44218</v>
      </c>
      <c r="C133" s="1" t="n">
        <v>45511</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4108-2021</t>
        </is>
      </c>
      <c r="B134" s="1" t="n">
        <v>44222</v>
      </c>
      <c r="C134" s="1" t="n">
        <v>45511</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4454-2021</t>
        </is>
      </c>
      <c r="B135" s="1" t="n">
        <v>44224</v>
      </c>
      <c r="C135" s="1" t="n">
        <v>45511</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9306-2021</t>
        </is>
      </c>
      <c r="B136" s="1" t="n">
        <v>44250</v>
      </c>
      <c r="C136" s="1" t="n">
        <v>45511</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12622-2021</t>
        </is>
      </c>
      <c r="B137" s="1" t="n">
        <v>44270</v>
      </c>
      <c r="C137" s="1" t="n">
        <v>45511</v>
      </c>
      <c r="D137" t="inlineStr">
        <is>
          <t>DALARNAS LÄN</t>
        </is>
      </c>
      <c r="E137" t="inlineStr">
        <is>
          <t>ORSA</t>
        </is>
      </c>
      <c r="G137" t="n">
        <v>5.1</v>
      </c>
      <c r="H137" t="n">
        <v>0</v>
      </c>
      <c r="I137" t="n">
        <v>0</v>
      </c>
      <c r="J137" t="n">
        <v>0</v>
      </c>
      <c r="K137" t="n">
        <v>0</v>
      </c>
      <c r="L137" t="n">
        <v>0</v>
      </c>
      <c r="M137" t="n">
        <v>0</v>
      </c>
      <c r="N137" t="n">
        <v>0</v>
      </c>
      <c r="O137" t="n">
        <v>0</v>
      </c>
      <c r="P137" t="n">
        <v>0</v>
      </c>
      <c r="Q137" t="n">
        <v>0</v>
      </c>
      <c r="R137" s="2" t="inlineStr"/>
    </row>
    <row r="138" ht="15" customHeight="1">
      <c r="A138" t="inlineStr">
        <is>
          <t>A 15914-2021</t>
        </is>
      </c>
      <c r="B138" s="1" t="n">
        <v>44287</v>
      </c>
      <c r="C138" s="1" t="n">
        <v>45511</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16270-2021</t>
        </is>
      </c>
      <c r="B139" s="1" t="n">
        <v>44292</v>
      </c>
      <c r="C139" s="1" t="n">
        <v>45511</v>
      </c>
      <c r="D139" t="inlineStr">
        <is>
          <t>DALARNAS LÄN</t>
        </is>
      </c>
      <c r="E139" t="inlineStr">
        <is>
          <t>ORSA</t>
        </is>
      </c>
      <c r="G139" t="n">
        <v>8.4</v>
      </c>
      <c r="H139" t="n">
        <v>0</v>
      </c>
      <c r="I139" t="n">
        <v>0</v>
      </c>
      <c r="J139" t="n">
        <v>0</v>
      </c>
      <c r="K139" t="n">
        <v>0</v>
      </c>
      <c r="L139" t="n">
        <v>0</v>
      </c>
      <c r="M139" t="n">
        <v>0</v>
      </c>
      <c r="N139" t="n">
        <v>0</v>
      </c>
      <c r="O139" t="n">
        <v>0</v>
      </c>
      <c r="P139" t="n">
        <v>0</v>
      </c>
      <c r="Q139" t="n">
        <v>0</v>
      </c>
      <c r="R139" s="2" t="inlineStr"/>
    </row>
    <row r="140" ht="15" customHeight="1">
      <c r="A140" t="inlineStr">
        <is>
          <t>A 17718-2021</t>
        </is>
      </c>
      <c r="B140" s="1" t="n">
        <v>44300</v>
      </c>
      <c r="C140" s="1" t="n">
        <v>45511</v>
      </c>
      <c r="D140" t="inlineStr">
        <is>
          <t>DALARNAS LÄN</t>
        </is>
      </c>
      <c r="E140" t="inlineStr">
        <is>
          <t>ORSA</t>
        </is>
      </c>
      <c r="G140" t="n">
        <v>0.6</v>
      </c>
      <c r="H140" t="n">
        <v>0</v>
      </c>
      <c r="I140" t="n">
        <v>0</v>
      </c>
      <c r="J140" t="n">
        <v>0</v>
      </c>
      <c r="K140" t="n">
        <v>0</v>
      </c>
      <c r="L140" t="n">
        <v>0</v>
      </c>
      <c r="M140" t="n">
        <v>0</v>
      </c>
      <c r="N140" t="n">
        <v>0</v>
      </c>
      <c r="O140" t="n">
        <v>0</v>
      </c>
      <c r="P140" t="n">
        <v>0</v>
      </c>
      <c r="Q140" t="n">
        <v>0</v>
      </c>
      <c r="R140" s="2" t="inlineStr"/>
    </row>
    <row r="141" ht="15" customHeight="1">
      <c r="A141" t="inlineStr">
        <is>
          <t>A 18708-2021</t>
        </is>
      </c>
      <c r="B141" s="1" t="n">
        <v>44307</v>
      </c>
      <c r="C141" s="1" t="n">
        <v>45511</v>
      </c>
      <c r="D141" t="inlineStr">
        <is>
          <t>DALARNAS LÄN</t>
        </is>
      </c>
      <c r="E141" t="inlineStr">
        <is>
          <t>ORSA</t>
        </is>
      </c>
      <c r="G141" t="n">
        <v>2.8</v>
      </c>
      <c r="H141" t="n">
        <v>0</v>
      </c>
      <c r="I141" t="n">
        <v>0</v>
      </c>
      <c r="J141" t="n">
        <v>0</v>
      </c>
      <c r="K141" t="n">
        <v>0</v>
      </c>
      <c r="L141" t="n">
        <v>0</v>
      </c>
      <c r="M141" t="n">
        <v>0</v>
      </c>
      <c r="N141" t="n">
        <v>0</v>
      </c>
      <c r="O141" t="n">
        <v>0</v>
      </c>
      <c r="P141" t="n">
        <v>0</v>
      </c>
      <c r="Q141" t="n">
        <v>0</v>
      </c>
      <c r="R141" s="2" t="inlineStr"/>
    </row>
    <row r="142" ht="15" customHeight="1">
      <c r="A142" t="inlineStr">
        <is>
          <t>A 19024-2021</t>
        </is>
      </c>
      <c r="B142" s="1" t="n">
        <v>44308</v>
      </c>
      <c r="C142" s="1" t="n">
        <v>45511</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19932-2021</t>
        </is>
      </c>
      <c r="B143" s="1" t="n">
        <v>44313</v>
      </c>
      <c r="C143" s="1" t="n">
        <v>45511</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20349-2021</t>
        </is>
      </c>
      <c r="B144" s="1" t="n">
        <v>44315</v>
      </c>
      <c r="C144" s="1" t="n">
        <v>45511</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21678-2021</t>
        </is>
      </c>
      <c r="B145" s="1" t="n">
        <v>44322</v>
      </c>
      <c r="C145" s="1" t="n">
        <v>45511</v>
      </c>
      <c r="D145" t="inlineStr">
        <is>
          <t>DALARNAS LÄN</t>
        </is>
      </c>
      <c r="E145" t="inlineStr">
        <is>
          <t>ORSA</t>
        </is>
      </c>
      <c r="G145" t="n">
        <v>11.4</v>
      </c>
      <c r="H145" t="n">
        <v>0</v>
      </c>
      <c r="I145" t="n">
        <v>0</v>
      </c>
      <c r="J145" t="n">
        <v>0</v>
      </c>
      <c r="K145" t="n">
        <v>0</v>
      </c>
      <c r="L145" t="n">
        <v>0</v>
      </c>
      <c r="M145" t="n">
        <v>0</v>
      </c>
      <c r="N145" t="n">
        <v>0</v>
      </c>
      <c r="O145" t="n">
        <v>0</v>
      </c>
      <c r="P145" t="n">
        <v>0</v>
      </c>
      <c r="Q145" t="n">
        <v>0</v>
      </c>
      <c r="R145" s="2" t="inlineStr"/>
    </row>
    <row r="146" ht="15" customHeight="1">
      <c r="A146" t="inlineStr">
        <is>
          <t>A 23685-2021</t>
        </is>
      </c>
      <c r="B146" s="1" t="n">
        <v>44334</v>
      </c>
      <c r="C146" s="1" t="n">
        <v>45511</v>
      </c>
      <c r="D146" t="inlineStr">
        <is>
          <t>DALARNAS LÄN</t>
        </is>
      </c>
      <c r="E146" t="inlineStr">
        <is>
          <t>ORSA</t>
        </is>
      </c>
      <c r="F146" t="inlineStr">
        <is>
          <t>Allmännings- och besparingsskogar</t>
        </is>
      </c>
      <c r="G146" t="n">
        <v>20.3</v>
      </c>
      <c r="H146" t="n">
        <v>0</v>
      </c>
      <c r="I146" t="n">
        <v>0</v>
      </c>
      <c r="J146" t="n">
        <v>0</v>
      </c>
      <c r="K146" t="n">
        <v>0</v>
      </c>
      <c r="L146" t="n">
        <v>0</v>
      </c>
      <c r="M146" t="n">
        <v>0</v>
      </c>
      <c r="N146" t="n">
        <v>0</v>
      </c>
      <c r="O146" t="n">
        <v>0</v>
      </c>
      <c r="P146" t="n">
        <v>0</v>
      </c>
      <c r="Q146" t="n">
        <v>0</v>
      </c>
      <c r="R146" s="2" t="inlineStr"/>
    </row>
    <row r="147" ht="15" customHeight="1">
      <c r="A147" t="inlineStr">
        <is>
          <t>A 24083-2021</t>
        </is>
      </c>
      <c r="B147" s="1" t="n">
        <v>44336</v>
      </c>
      <c r="C147" s="1" t="n">
        <v>45511</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25761-2021</t>
        </is>
      </c>
      <c r="B148" s="1" t="n">
        <v>44343</v>
      </c>
      <c r="C148" s="1" t="n">
        <v>45511</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26831-2021</t>
        </is>
      </c>
      <c r="B149" s="1" t="n">
        <v>44349</v>
      </c>
      <c r="C149" s="1" t="n">
        <v>45511</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27146-2021</t>
        </is>
      </c>
      <c r="B150" s="1" t="n">
        <v>44350</v>
      </c>
      <c r="C150" s="1" t="n">
        <v>45511</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27542-2021</t>
        </is>
      </c>
      <c r="B151" s="1" t="n">
        <v>44351</v>
      </c>
      <c r="C151" s="1" t="n">
        <v>45511</v>
      </c>
      <c r="D151" t="inlineStr">
        <is>
          <t>DALARNAS LÄN</t>
        </is>
      </c>
      <c r="E151" t="inlineStr">
        <is>
          <t>ORSA</t>
        </is>
      </c>
      <c r="G151" t="n">
        <v>1</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v>
      </c>
      <c r="C152" s="1" t="n">
        <v>45511</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28210-2021</t>
        </is>
      </c>
      <c r="B153" s="1" t="n">
        <v>44355</v>
      </c>
      <c r="C153" s="1" t="n">
        <v>45511</v>
      </c>
      <c r="D153" t="inlineStr">
        <is>
          <t>DALARNAS LÄN</t>
        </is>
      </c>
      <c r="E153" t="inlineStr">
        <is>
          <t>ORSA</t>
        </is>
      </c>
      <c r="F153" t="inlineStr">
        <is>
          <t>Bergvik skog öst AB</t>
        </is>
      </c>
      <c r="G153" t="n">
        <v>2.2</v>
      </c>
      <c r="H153" t="n">
        <v>0</v>
      </c>
      <c r="I153" t="n">
        <v>0</v>
      </c>
      <c r="J153" t="n">
        <v>0</v>
      </c>
      <c r="K153" t="n">
        <v>0</v>
      </c>
      <c r="L153" t="n">
        <v>0</v>
      </c>
      <c r="M153" t="n">
        <v>0</v>
      </c>
      <c r="N153" t="n">
        <v>0</v>
      </c>
      <c r="O153" t="n">
        <v>0</v>
      </c>
      <c r="P153" t="n">
        <v>0</v>
      </c>
      <c r="Q153" t="n">
        <v>0</v>
      </c>
      <c r="R153" s="2" t="inlineStr"/>
    </row>
    <row r="154" ht="15" customHeight="1">
      <c r="A154" t="inlineStr">
        <is>
          <t>A 28259-2021</t>
        </is>
      </c>
      <c r="B154" s="1" t="n">
        <v>44355</v>
      </c>
      <c r="C154" s="1" t="n">
        <v>45511</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28630-2021</t>
        </is>
      </c>
      <c r="B155" s="1" t="n">
        <v>44356</v>
      </c>
      <c r="C155" s="1" t="n">
        <v>45511</v>
      </c>
      <c r="D155" t="inlineStr">
        <is>
          <t>DALARNAS LÄN</t>
        </is>
      </c>
      <c r="E155" t="inlineStr">
        <is>
          <t>ORSA</t>
        </is>
      </c>
      <c r="G155" t="n">
        <v>3.5</v>
      </c>
      <c r="H155" t="n">
        <v>0</v>
      </c>
      <c r="I155" t="n">
        <v>0</v>
      </c>
      <c r="J155" t="n">
        <v>0</v>
      </c>
      <c r="K155" t="n">
        <v>0</v>
      </c>
      <c r="L155" t="n">
        <v>0</v>
      </c>
      <c r="M155" t="n">
        <v>0</v>
      </c>
      <c r="N155" t="n">
        <v>0</v>
      </c>
      <c r="O155" t="n">
        <v>0</v>
      </c>
      <c r="P155" t="n">
        <v>0</v>
      </c>
      <c r="Q155" t="n">
        <v>0</v>
      </c>
      <c r="R155" s="2" t="inlineStr"/>
    </row>
    <row r="156" ht="15" customHeight="1">
      <c r="A156" t="inlineStr">
        <is>
          <t>A 29366-2021</t>
        </is>
      </c>
      <c r="B156" s="1" t="n">
        <v>44361</v>
      </c>
      <c r="C156" s="1" t="n">
        <v>45511</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29555-2021</t>
        </is>
      </c>
      <c r="B157" s="1" t="n">
        <v>44361</v>
      </c>
      <c r="C157" s="1" t="n">
        <v>45511</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29874-2021</t>
        </is>
      </c>
      <c r="B158" s="1" t="n">
        <v>44362</v>
      </c>
      <c r="C158" s="1" t="n">
        <v>45511</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30125-2021</t>
        </is>
      </c>
      <c r="B159" s="1" t="n">
        <v>44363</v>
      </c>
      <c r="C159" s="1" t="n">
        <v>45511</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31647-2021</t>
        </is>
      </c>
      <c r="B160" s="1" t="n">
        <v>44369</v>
      </c>
      <c r="C160" s="1" t="n">
        <v>45511</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33265-2021</t>
        </is>
      </c>
      <c r="B161" s="1" t="n">
        <v>44377</v>
      </c>
      <c r="C161" s="1" t="n">
        <v>45511</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33480-2021</t>
        </is>
      </c>
      <c r="B162" s="1" t="n">
        <v>44377</v>
      </c>
      <c r="C162" s="1" t="n">
        <v>45511</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34713-2021</t>
        </is>
      </c>
      <c r="B163" s="1" t="n">
        <v>44382</v>
      </c>
      <c r="C163" s="1" t="n">
        <v>45511</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34708-2021</t>
        </is>
      </c>
      <c r="B164" s="1" t="n">
        <v>44382</v>
      </c>
      <c r="C164" s="1" t="n">
        <v>45511</v>
      </c>
      <c r="D164" t="inlineStr">
        <is>
          <t>DALARNAS LÄN</t>
        </is>
      </c>
      <c r="E164" t="inlineStr">
        <is>
          <t>ORSA</t>
        </is>
      </c>
      <c r="G164" t="n">
        <v>4.3</v>
      </c>
      <c r="H164" t="n">
        <v>0</v>
      </c>
      <c r="I164" t="n">
        <v>0</v>
      </c>
      <c r="J164" t="n">
        <v>0</v>
      </c>
      <c r="K164" t="n">
        <v>0</v>
      </c>
      <c r="L164" t="n">
        <v>0</v>
      </c>
      <c r="M164" t="n">
        <v>0</v>
      </c>
      <c r="N164" t="n">
        <v>0</v>
      </c>
      <c r="O164" t="n">
        <v>0</v>
      </c>
      <c r="P164" t="n">
        <v>0</v>
      </c>
      <c r="Q164" t="n">
        <v>0</v>
      </c>
      <c r="R164" s="2" t="inlineStr"/>
    </row>
    <row r="165" ht="15" customHeight="1">
      <c r="A165" t="inlineStr">
        <is>
          <t>A 36559-2021</t>
        </is>
      </c>
      <c r="B165" s="1" t="n">
        <v>44391</v>
      </c>
      <c r="C165" s="1" t="n">
        <v>45511</v>
      </c>
      <c r="D165" t="inlineStr">
        <is>
          <t>DALARNAS LÄN</t>
        </is>
      </c>
      <c r="E165" t="inlineStr">
        <is>
          <t>ORSA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36569-2021</t>
        </is>
      </c>
      <c r="B166" s="1" t="n">
        <v>44391</v>
      </c>
      <c r="C166" s="1" t="n">
        <v>45511</v>
      </c>
      <c r="D166" t="inlineStr">
        <is>
          <t>DALARNAS LÄN</t>
        </is>
      </c>
      <c r="E166" t="inlineStr">
        <is>
          <t>ORSA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36613-2021</t>
        </is>
      </c>
      <c r="B167" s="1" t="n">
        <v>44391</v>
      </c>
      <c r="C167" s="1" t="n">
        <v>45511</v>
      </c>
      <c r="D167" t="inlineStr">
        <is>
          <t>DALARNAS LÄN</t>
        </is>
      </c>
      <c r="E167" t="inlineStr">
        <is>
          <t>ORSA</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39920-2021</t>
        </is>
      </c>
      <c r="B168" s="1" t="n">
        <v>44417</v>
      </c>
      <c r="C168" s="1" t="n">
        <v>45511</v>
      </c>
      <c r="D168" t="inlineStr">
        <is>
          <t>DALARNAS LÄN</t>
        </is>
      </c>
      <c r="E168" t="inlineStr">
        <is>
          <t>ORSA</t>
        </is>
      </c>
      <c r="F168" t="inlineStr">
        <is>
          <t>Kyrkan</t>
        </is>
      </c>
      <c r="G168" t="n">
        <v>2.2</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45511</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41295-2021</t>
        </is>
      </c>
      <c r="B170" s="1" t="n">
        <v>44424</v>
      </c>
      <c r="C170" s="1" t="n">
        <v>45511</v>
      </c>
      <c r="D170" t="inlineStr">
        <is>
          <t>DALARNAS LÄN</t>
        </is>
      </c>
      <c r="E170" t="inlineStr">
        <is>
          <t>ORSA</t>
        </is>
      </c>
      <c r="G170" t="n">
        <v>3.1</v>
      </c>
      <c r="H170" t="n">
        <v>0</v>
      </c>
      <c r="I170" t="n">
        <v>0</v>
      </c>
      <c r="J170" t="n">
        <v>0</v>
      </c>
      <c r="K170" t="n">
        <v>0</v>
      </c>
      <c r="L170" t="n">
        <v>0</v>
      </c>
      <c r="M170" t="n">
        <v>0</v>
      </c>
      <c r="N170" t="n">
        <v>0</v>
      </c>
      <c r="O170" t="n">
        <v>0</v>
      </c>
      <c r="P170" t="n">
        <v>0</v>
      </c>
      <c r="Q170" t="n">
        <v>0</v>
      </c>
      <c r="R170" s="2" t="inlineStr"/>
    </row>
    <row r="171" ht="15" customHeight="1">
      <c r="A171" t="inlineStr">
        <is>
          <t>A 41425-2021</t>
        </is>
      </c>
      <c r="B171" s="1" t="n">
        <v>44424</v>
      </c>
      <c r="C171" s="1" t="n">
        <v>45511</v>
      </c>
      <c r="D171" t="inlineStr">
        <is>
          <t>DALARNAS LÄN</t>
        </is>
      </c>
      <c r="E171" t="inlineStr">
        <is>
          <t>ORSA</t>
        </is>
      </c>
      <c r="G171" t="n">
        <v>0.4</v>
      </c>
      <c r="H171" t="n">
        <v>0</v>
      </c>
      <c r="I171" t="n">
        <v>0</v>
      </c>
      <c r="J171" t="n">
        <v>0</v>
      </c>
      <c r="K171" t="n">
        <v>0</v>
      </c>
      <c r="L171" t="n">
        <v>0</v>
      </c>
      <c r="M171" t="n">
        <v>0</v>
      </c>
      <c r="N171" t="n">
        <v>0</v>
      </c>
      <c r="O171" t="n">
        <v>0</v>
      </c>
      <c r="P171" t="n">
        <v>0</v>
      </c>
      <c r="Q171" t="n">
        <v>0</v>
      </c>
      <c r="R171" s="2" t="inlineStr"/>
    </row>
    <row r="172" ht="15" customHeight="1">
      <c r="A172" t="inlineStr">
        <is>
          <t>A 43391-2021</t>
        </is>
      </c>
      <c r="B172" s="1" t="n">
        <v>44432</v>
      </c>
      <c r="C172" s="1" t="n">
        <v>45511</v>
      </c>
      <c r="D172" t="inlineStr">
        <is>
          <t>DALARNAS LÄN</t>
        </is>
      </c>
      <c r="E172" t="inlineStr">
        <is>
          <t>ORSA</t>
        </is>
      </c>
      <c r="F172" t="inlineStr">
        <is>
          <t>Bergvik skog öst AB</t>
        </is>
      </c>
      <c r="G172" t="n">
        <v>6.8</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v>
      </c>
      <c r="C173" s="1" t="n">
        <v>45511</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47732-2021</t>
        </is>
      </c>
      <c r="B174" s="1" t="n">
        <v>44448</v>
      </c>
      <c r="C174" s="1" t="n">
        <v>45511</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45511</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49028-2021</t>
        </is>
      </c>
      <c r="B176" s="1" t="n">
        <v>44453</v>
      </c>
      <c r="C176" s="1" t="n">
        <v>45511</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49004-2021</t>
        </is>
      </c>
      <c r="B177" s="1" t="n">
        <v>44453</v>
      </c>
      <c r="C177" s="1" t="n">
        <v>45511</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49533-2021</t>
        </is>
      </c>
      <c r="B178" s="1" t="n">
        <v>44455</v>
      </c>
      <c r="C178" s="1" t="n">
        <v>45511</v>
      </c>
      <c r="D178" t="inlineStr">
        <is>
          <t>DALARNAS LÄN</t>
        </is>
      </c>
      <c r="E178" t="inlineStr">
        <is>
          <t>ORSA</t>
        </is>
      </c>
      <c r="F178" t="inlineStr">
        <is>
          <t>Allmännings- och besparingsskogar</t>
        </is>
      </c>
      <c r="G178" t="n">
        <v>22.2</v>
      </c>
      <c r="H178" t="n">
        <v>0</v>
      </c>
      <c r="I178" t="n">
        <v>0</v>
      </c>
      <c r="J178" t="n">
        <v>0</v>
      </c>
      <c r="K178" t="n">
        <v>0</v>
      </c>
      <c r="L178" t="n">
        <v>0</v>
      </c>
      <c r="M178" t="n">
        <v>0</v>
      </c>
      <c r="N178" t="n">
        <v>0</v>
      </c>
      <c r="O178" t="n">
        <v>0</v>
      </c>
      <c r="P178" t="n">
        <v>0</v>
      </c>
      <c r="Q178" t="n">
        <v>0</v>
      </c>
      <c r="R178" s="2" t="inlineStr"/>
    </row>
    <row r="179" ht="15" customHeight="1">
      <c r="A179" t="inlineStr">
        <is>
          <t>A 50297-2021</t>
        </is>
      </c>
      <c r="B179" s="1" t="n">
        <v>44459</v>
      </c>
      <c r="C179" s="1" t="n">
        <v>45511</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50843-2021</t>
        </is>
      </c>
      <c r="B180" s="1" t="n">
        <v>44460</v>
      </c>
      <c r="C180" s="1" t="n">
        <v>45511</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50779-2021</t>
        </is>
      </c>
      <c r="B181" s="1" t="n">
        <v>44460</v>
      </c>
      <c r="C181" s="1" t="n">
        <v>45511</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50905-2021</t>
        </is>
      </c>
      <c r="B182" s="1" t="n">
        <v>44460</v>
      </c>
      <c r="C182" s="1" t="n">
        <v>45511</v>
      </c>
      <c r="D182" t="inlineStr">
        <is>
          <t>DALARNAS LÄN</t>
        </is>
      </c>
      <c r="E182" t="inlineStr">
        <is>
          <t>ORSA</t>
        </is>
      </c>
      <c r="G182" t="n">
        <v>2.1</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v>
      </c>
      <c r="C183" s="1" t="n">
        <v>45511</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50999-2021</t>
        </is>
      </c>
      <c r="B184" s="1" t="n">
        <v>44460</v>
      </c>
      <c r="C184" s="1" t="n">
        <v>45511</v>
      </c>
      <c r="D184" t="inlineStr">
        <is>
          <t>DALARNAS LÄN</t>
        </is>
      </c>
      <c r="E184" t="inlineStr">
        <is>
          <t>ORSA</t>
        </is>
      </c>
      <c r="G184" t="n">
        <v>3</v>
      </c>
      <c r="H184" t="n">
        <v>0</v>
      </c>
      <c r="I184" t="n">
        <v>0</v>
      </c>
      <c r="J184" t="n">
        <v>0</v>
      </c>
      <c r="K184" t="n">
        <v>0</v>
      </c>
      <c r="L184" t="n">
        <v>0</v>
      </c>
      <c r="M184" t="n">
        <v>0</v>
      </c>
      <c r="N184" t="n">
        <v>0</v>
      </c>
      <c r="O184" t="n">
        <v>0</v>
      </c>
      <c r="P184" t="n">
        <v>0</v>
      </c>
      <c r="Q184" t="n">
        <v>0</v>
      </c>
      <c r="R184" s="2" t="inlineStr"/>
    </row>
    <row r="185" ht="15" customHeight="1">
      <c r="A185" t="inlineStr">
        <is>
          <t>A 51277-2021</t>
        </is>
      </c>
      <c r="B185" s="1" t="n">
        <v>44461</v>
      </c>
      <c r="C185" s="1" t="n">
        <v>45511</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51278-2021</t>
        </is>
      </c>
      <c r="B186" s="1" t="n">
        <v>44461</v>
      </c>
      <c r="C186" s="1" t="n">
        <v>45511</v>
      </c>
      <c r="D186" t="inlineStr">
        <is>
          <t>DALARNAS LÄN</t>
        </is>
      </c>
      <c r="E186" t="inlineStr">
        <is>
          <t>ORSA</t>
        </is>
      </c>
      <c r="F186" t="inlineStr">
        <is>
          <t>Allmännings- och besparingsskogar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52542-2021</t>
        </is>
      </c>
      <c r="B187" s="1" t="n">
        <v>44466</v>
      </c>
      <c r="C187" s="1" t="n">
        <v>45511</v>
      </c>
      <c r="D187" t="inlineStr">
        <is>
          <t>DALARNAS LÄN</t>
        </is>
      </c>
      <c r="E187" t="inlineStr">
        <is>
          <t>ORSA</t>
        </is>
      </c>
      <c r="G187" t="n">
        <v>0.3</v>
      </c>
      <c r="H187" t="n">
        <v>0</v>
      </c>
      <c r="I187" t="n">
        <v>0</v>
      </c>
      <c r="J187" t="n">
        <v>0</v>
      </c>
      <c r="K187" t="n">
        <v>0</v>
      </c>
      <c r="L187" t="n">
        <v>0</v>
      </c>
      <c r="M187" t="n">
        <v>0</v>
      </c>
      <c r="N187" t="n">
        <v>0</v>
      </c>
      <c r="O187" t="n">
        <v>0</v>
      </c>
      <c r="P187" t="n">
        <v>0</v>
      </c>
      <c r="Q187" t="n">
        <v>0</v>
      </c>
      <c r="R187" s="2" t="inlineStr"/>
    </row>
    <row r="188" ht="15" customHeight="1">
      <c r="A188" t="inlineStr">
        <is>
          <t>A 52574-2021</t>
        </is>
      </c>
      <c r="B188" s="1" t="n">
        <v>44466</v>
      </c>
      <c r="C188" s="1" t="n">
        <v>45511</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53102-2021</t>
        </is>
      </c>
      <c r="B189" s="1" t="n">
        <v>44467</v>
      </c>
      <c r="C189" s="1" t="n">
        <v>45511</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53104-2021</t>
        </is>
      </c>
      <c r="B190" s="1" t="n">
        <v>44467</v>
      </c>
      <c r="C190" s="1" t="n">
        <v>45511</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53106-2021</t>
        </is>
      </c>
      <c r="B191" s="1" t="n">
        <v>44468</v>
      </c>
      <c r="C191" s="1" t="n">
        <v>45511</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53740-2021</t>
        </is>
      </c>
      <c r="B192" s="1" t="n">
        <v>44469</v>
      </c>
      <c r="C192" s="1" t="n">
        <v>45511</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53745-2021</t>
        </is>
      </c>
      <c r="B193" s="1" t="n">
        <v>44469</v>
      </c>
      <c r="C193" s="1" t="n">
        <v>45511</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54760-2021</t>
        </is>
      </c>
      <c r="B194" s="1" t="n">
        <v>44474</v>
      </c>
      <c r="C194" s="1" t="n">
        <v>45511</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55354-2021</t>
        </is>
      </c>
      <c r="B195" s="1" t="n">
        <v>44475</v>
      </c>
      <c r="C195" s="1" t="n">
        <v>45511</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56162-2021</t>
        </is>
      </c>
      <c r="B196" s="1" t="n">
        <v>44477</v>
      </c>
      <c r="C196" s="1" t="n">
        <v>45511</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v>
      </c>
      <c r="C197" s="1" t="n">
        <v>45511</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v>
      </c>
      <c r="C198" s="1" t="n">
        <v>45511</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57271-2021</t>
        </is>
      </c>
      <c r="B199" s="1" t="n">
        <v>44483</v>
      </c>
      <c r="C199" s="1" t="n">
        <v>45511</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57685-2021</t>
        </is>
      </c>
      <c r="B200" s="1" t="n">
        <v>44484</v>
      </c>
      <c r="C200" s="1" t="n">
        <v>45511</v>
      </c>
      <c r="D200" t="inlineStr">
        <is>
          <t>DALARNAS LÄN</t>
        </is>
      </c>
      <c r="E200" t="inlineStr">
        <is>
          <t>ORSA</t>
        </is>
      </c>
      <c r="G200" t="n">
        <v>4.1</v>
      </c>
      <c r="H200" t="n">
        <v>0</v>
      </c>
      <c r="I200" t="n">
        <v>0</v>
      </c>
      <c r="J200" t="n">
        <v>0</v>
      </c>
      <c r="K200" t="n">
        <v>0</v>
      </c>
      <c r="L200" t="n">
        <v>0</v>
      </c>
      <c r="M200" t="n">
        <v>0</v>
      </c>
      <c r="N200" t="n">
        <v>0</v>
      </c>
      <c r="O200" t="n">
        <v>0</v>
      </c>
      <c r="P200" t="n">
        <v>0</v>
      </c>
      <c r="Q200" t="n">
        <v>0</v>
      </c>
      <c r="R200" s="2" t="inlineStr"/>
    </row>
    <row r="201" ht="15" customHeight="1">
      <c r="A201" t="inlineStr">
        <is>
          <t>A 59868-2021</t>
        </is>
      </c>
      <c r="B201" s="1" t="n">
        <v>44494</v>
      </c>
      <c r="C201" s="1" t="n">
        <v>45511</v>
      </c>
      <c r="D201" t="inlineStr">
        <is>
          <t>DALARNAS LÄN</t>
        </is>
      </c>
      <c r="E201" t="inlineStr">
        <is>
          <t>ORSA</t>
        </is>
      </c>
      <c r="G201" t="n">
        <v>4.3</v>
      </c>
      <c r="H201" t="n">
        <v>0</v>
      </c>
      <c r="I201" t="n">
        <v>0</v>
      </c>
      <c r="J201" t="n">
        <v>0</v>
      </c>
      <c r="K201" t="n">
        <v>0</v>
      </c>
      <c r="L201" t="n">
        <v>0</v>
      </c>
      <c r="M201" t="n">
        <v>0</v>
      </c>
      <c r="N201" t="n">
        <v>0</v>
      </c>
      <c r="O201" t="n">
        <v>0</v>
      </c>
      <c r="P201" t="n">
        <v>0</v>
      </c>
      <c r="Q201" t="n">
        <v>0</v>
      </c>
      <c r="R201" s="2" t="inlineStr"/>
    </row>
    <row r="202" ht="15" customHeight="1">
      <c r="A202" t="inlineStr">
        <is>
          <t>A 60391-2021</t>
        </is>
      </c>
      <c r="B202" s="1" t="n">
        <v>44496</v>
      </c>
      <c r="C202" s="1" t="n">
        <v>45511</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61005-2021</t>
        </is>
      </c>
      <c r="B203" s="1" t="n">
        <v>44497</v>
      </c>
      <c r="C203" s="1" t="n">
        <v>45511</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60827-2021</t>
        </is>
      </c>
      <c r="B204" s="1" t="n">
        <v>44497</v>
      </c>
      <c r="C204" s="1" t="n">
        <v>45511</v>
      </c>
      <c r="D204" t="inlineStr">
        <is>
          <t>DALARNAS LÄN</t>
        </is>
      </c>
      <c r="E204" t="inlineStr">
        <is>
          <t>ORSA</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61000-2021</t>
        </is>
      </c>
      <c r="B205" s="1" t="n">
        <v>44497</v>
      </c>
      <c r="C205" s="1" t="n">
        <v>45511</v>
      </c>
      <c r="D205" t="inlineStr">
        <is>
          <t>DALARNAS LÄN</t>
        </is>
      </c>
      <c r="E205" t="inlineStr">
        <is>
          <t>ORSA</t>
        </is>
      </c>
      <c r="G205" t="n">
        <v>4.4</v>
      </c>
      <c r="H205" t="n">
        <v>0</v>
      </c>
      <c r="I205" t="n">
        <v>0</v>
      </c>
      <c r="J205" t="n">
        <v>0</v>
      </c>
      <c r="K205" t="n">
        <v>0</v>
      </c>
      <c r="L205" t="n">
        <v>0</v>
      </c>
      <c r="M205" t="n">
        <v>0</v>
      </c>
      <c r="N205" t="n">
        <v>0</v>
      </c>
      <c r="O205" t="n">
        <v>0</v>
      </c>
      <c r="P205" t="n">
        <v>0</v>
      </c>
      <c r="Q205" t="n">
        <v>0</v>
      </c>
      <c r="R205" s="2" t="inlineStr"/>
    </row>
    <row r="206" ht="15" customHeight="1">
      <c r="A206" t="inlineStr">
        <is>
          <t>A 62370-2021</t>
        </is>
      </c>
      <c r="B206" s="1" t="n">
        <v>44503</v>
      </c>
      <c r="C206" s="1" t="n">
        <v>45511</v>
      </c>
      <c r="D206" t="inlineStr">
        <is>
          <t>DALARNAS LÄN</t>
        </is>
      </c>
      <c r="E206" t="inlineStr">
        <is>
          <t>ORSA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64776-2021</t>
        </is>
      </c>
      <c r="B207" s="1" t="n">
        <v>44512</v>
      </c>
      <c r="C207" s="1" t="n">
        <v>45511</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64747-2021</t>
        </is>
      </c>
      <c r="B208" s="1" t="n">
        <v>44512</v>
      </c>
      <c r="C208" s="1" t="n">
        <v>45511</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68013-2021</t>
        </is>
      </c>
      <c r="B209" s="1" t="n">
        <v>44525</v>
      </c>
      <c r="C209" s="1" t="n">
        <v>45511</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68230-2021</t>
        </is>
      </c>
      <c r="B210" s="1" t="n">
        <v>44526</v>
      </c>
      <c r="C210" s="1" t="n">
        <v>45511</v>
      </c>
      <c r="D210" t="inlineStr">
        <is>
          <t>DALARNAS LÄN</t>
        </is>
      </c>
      <c r="E210" t="inlineStr">
        <is>
          <t>ORSA</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69060-2021</t>
        </is>
      </c>
      <c r="B211" s="1" t="n">
        <v>44530</v>
      </c>
      <c r="C211" s="1" t="n">
        <v>45511</v>
      </c>
      <c r="D211" t="inlineStr">
        <is>
          <t>DALARNAS LÄN</t>
        </is>
      </c>
      <c r="E211" t="inlineStr">
        <is>
          <t>ORSA</t>
        </is>
      </c>
      <c r="F211" t="inlineStr">
        <is>
          <t>Allmännings- och besparingsskogar</t>
        </is>
      </c>
      <c r="G211" t="n">
        <v>2.8</v>
      </c>
      <c r="H211" t="n">
        <v>0</v>
      </c>
      <c r="I211" t="n">
        <v>0</v>
      </c>
      <c r="J211" t="n">
        <v>0</v>
      </c>
      <c r="K211" t="n">
        <v>0</v>
      </c>
      <c r="L211" t="n">
        <v>0</v>
      </c>
      <c r="M211" t="n">
        <v>0</v>
      </c>
      <c r="N211" t="n">
        <v>0</v>
      </c>
      <c r="O211" t="n">
        <v>0</v>
      </c>
      <c r="P211" t="n">
        <v>0</v>
      </c>
      <c r="Q211" t="n">
        <v>0</v>
      </c>
      <c r="R211" s="2" t="inlineStr"/>
    </row>
    <row r="212" ht="15" customHeight="1">
      <c r="A212" t="inlineStr">
        <is>
          <t>A 69046-2021</t>
        </is>
      </c>
      <c r="B212" s="1" t="n">
        <v>44530</v>
      </c>
      <c r="C212" s="1" t="n">
        <v>45511</v>
      </c>
      <c r="D212" t="inlineStr">
        <is>
          <t>DALARNAS LÄN</t>
        </is>
      </c>
      <c r="E212" t="inlineStr">
        <is>
          <t>ORSA</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69721-2021</t>
        </is>
      </c>
      <c r="B213" s="1" t="n">
        <v>44532</v>
      </c>
      <c r="C213" s="1" t="n">
        <v>45511</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69735-2021</t>
        </is>
      </c>
      <c r="B214" s="1" t="n">
        <v>44532</v>
      </c>
      <c r="C214" s="1" t="n">
        <v>45511</v>
      </c>
      <c r="D214" t="inlineStr">
        <is>
          <t>DALARNAS LÄN</t>
        </is>
      </c>
      <c r="E214" t="inlineStr">
        <is>
          <t>ORSA</t>
        </is>
      </c>
      <c r="G214" t="n">
        <v>2.4</v>
      </c>
      <c r="H214" t="n">
        <v>0</v>
      </c>
      <c r="I214" t="n">
        <v>0</v>
      </c>
      <c r="J214" t="n">
        <v>0</v>
      </c>
      <c r="K214" t="n">
        <v>0</v>
      </c>
      <c r="L214" t="n">
        <v>0</v>
      </c>
      <c r="M214" t="n">
        <v>0</v>
      </c>
      <c r="N214" t="n">
        <v>0</v>
      </c>
      <c r="O214" t="n">
        <v>0</v>
      </c>
      <c r="P214" t="n">
        <v>0</v>
      </c>
      <c r="Q214" t="n">
        <v>0</v>
      </c>
      <c r="R214" s="2" t="inlineStr"/>
    </row>
    <row r="215" ht="15" customHeight="1">
      <c r="A215" t="inlineStr">
        <is>
          <t>A 70332-2021</t>
        </is>
      </c>
      <c r="B215" s="1" t="n">
        <v>44536</v>
      </c>
      <c r="C215" s="1" t="n">
        <v>45511</v>
      </c>
      <c r="D215" t="inlineStr">
        <is>
          <t>DALARNAS LÄN</t>
        </is>
      </c>
      <c r="E215" t="inlineStr">
        <is>
          <t>ORSA</t>
        </is>
      </c>
      <c r="G215" t="n">
        <v>7.2</v>
      </c>
      <c r="H215" t="n">
        <v>0</v>
      </c>
      <c r="I215" t="n">
        <v>0</v>
      </c>
      <c r="J215" t="n">
        <v>0</v>
      </c>
      <c r="K215" t="n">
        <v>0</v>
      </c>
      <c r="L215" t="n">
        <v>0</v>
      </c>
      <c r="M215" t="n">
        <v>0</v>
      </c>
      <c r="N215" t="n">
        <v>0</v>
      </c>
      <c r="O215" t="n">
        <v>0</v>
      </c>
      <c r="P215" t="n">
        <v>0</v>
      </c>
      <c r="Q215" t="n">
        <v>0</v>
      </c>
      <c r="R215" s="2" t="inlineStr"/>
    </row>
    <row r="216" ht="15" customHeight="1">
      <c r="A216" t="inlineStr">
        <is>
          <t>A 71744-2021</t>
        </is>
      </c>
      <c r="B216" s="1" t="n">
        <v>44543</v>
      </c>
      <c r="C216" s="1" t="n">
        <v>45511</v>
      </c>
      <c r="D216" t="inlineStr">
        <is>
          <t>DALARNAS LÄN</t>
        </is>
      </c>
      <c r="E216" t="inlineStr">
        <is>
          <t>ORSA</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45511</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72284-2021</t>
        </is>
      </c>
      <c r="B218" s="1" t="n">
        <v>44545</v>
      </c>
      <c r="C218" s="1" t="n">
        <v>45511</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160-2022</t>
        </is>
      </c>
      <c r="B219" s="1" t="n">
        <v>44564</v>
      </c>
      <c r="C219" s="1" t="n">
        <v>45511</v>
      </c>
      <c r="D219" t="inlineStr">
        <is>
          <t>DALARNAS LÄN</t>
        </is>
      </c>
      <c r="E219" t="inlineStr">
        <is>
          <t>ORSA</t>
        </is>
      </c>
      <c r="F219" t="inlineStr">
        <is>
          <t>Kommuner</t>
        </is>
      </c>
      <c r="G219" t="n">
        <v>0.1</v>
      </c>
      <c r="H219" t="n">
        <v>0</v>
      </c>
      <c r="I219" t="n">
        <v>0</v>
      </c>
      <c r="J219" t="n">
        <v>0</v>
      </c>
      <c r="K219" t="n">
        <v>0</v>
      </c>
      <c r="L219" t="n">
        <v>0</v>
      </c>
      <c r="M219" t="n">
        <v>0</v>
      </c>
      <c r="N219" t="n">
        <v>0</v>
      </c>
      <c r="O219" t="n">
        <v>0</v>
      </c>
      <c r="P219" t="n">
        <v>0</v>
      </c>
      <c r="Q219" t="n">
        <v>0</v>
      </c>
      <c r="R219" s="2" t="inlineStr"/>
    </row>
    <row r="220" ht="15" customHeight="1">
      <c r="A220" t="inlineStr">
        <is>
          <t>A 169-2022</t>
        </is>
      </c>
      <c r="B220" s="1" t="n">
        <v>44564</v>
      </c>
      <c r="C220" s="1" t="n">
        <v>45511</v>
      </c>
      <c r="D220" t="inlineStr">
        <is>
          <t>DALARNAS LÄN</t>
        </is>
      </c>
      <c r="E220" t="inlineStr">
        <is>
          <t>ORSA</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2882-2022</t>
        </is>
      </c>
      <c r="B221" s="1" t="n">
        <v>44581</v>
      </c>
      <c r="C221" s="1" t="n">
        <v>45511</v>
      </c>
      <c r="D221" t="inlineStr">
        <is>
          <t>DALARNAS LÄN</t>
        </is>
      </c>
      <c r="E221" t="inlineStr">
        <is>
          <t>ORSA</t>
        </is>
      </c>
      <c r="G221" t="n">
        <v>2.7</v>
      </c>
      <c r="H221" t="n">
        <v>0</v>
      </c>
      <c r="I221" t="n">
        <v>0</v>
      </c>
      <c r="J221" t="n">
        <v>0</v>
      </c>
      <c r="K221" t="n">
        <v>0</v>
      </c>
      <c r="L221" t="n">
        <v>0</v>
      </c>
      <c r="M221" t="n">
        <v>0</v>
      </c>
      <c r="N221" t="n">
        <v>0</v>
      </c>
      <c r="O221" t="n">
        <v>0</v>
      </c>
      <c r="P221" t="n">
        <v>0</v>
      </c>
      <c r="Q221" t="n">
        <v>0</v>
      </c>
      <c r="R221" s="2" t="inlineStr"/>
    </row>
    <row r="222" ht="15" customHeight="1">
      <c r="A222" t="inlineStr">
        <is>
          <t>A 9561-2022</t>
        </is>
      </c>
      <c r="B222" s="1" t="n">
        <v>44617</v>
      </c>
      <c r="C222" s="1" t="n">
        <v>45511</v>
      </c>
      <c r="D222" t="inlineStr">
        <is>
          <t>DALARNAS LÄN</t>
        </is>
      </c>
      <c r="E222" t="inlineStr">
        <is>
          <t>ORSA</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9807-2022</t>
        </is>
      </c>
      <c r="B223" s="1" t="n">
        <v>44620</v>
      </c>
      <c r="C223" s="1" t="n">
        <v>45511</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9836-2022</t>
        </is>
      </c>
      <c r="B224" s="1" t="n">
        <v>44620</v>
      </c>
      <c r="C224" s="1" t="n">
        <v>45511</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10261-2022</t>
        </is>
      </c>
      <c r="B225" s="1" t="n">
        <v>44622</v>
      </c>
      <c r="C225" s="1" t="n">
        <v>45511</v>
      </c>
      <c r="D225" t="inlineStr">
        <is>
          <t>DALARNAS LÄN</t>
        </is>
      </c>
      <c r="E225" t="inlineStr">
        <is>
          <t>ORSA</t>
        </is>
      </c>
      <c r="G225" t="n">
        <v>3.1</v>
      </c>
      <c r="H225" t="n">
        <v>0</v>
      </c>
      <c r="I225" t="n">
        <v>0</v>
      </c>
      <c r="J225" t="n">
        <v>0</v>
      </c>
      <c r="K225" t="n">
        <v>0</v>
      </c>
      <c r="L225" t="n">
        <v>0</v>
      </c>
      <c r="M225" t="n">
        <v>0</v>
      </c>
      <c r="N225" t="n">
        <v>0</v>
      </c>
      <c r="O225" t="n">
        <v>0</v>
      </c>
      <c r="P225" t="n">
        <v>0</v>
      </c>
      <c r="Q225" t="n">
        <v>0</v>
      </c>
      <c r="R225" s="2" t="inlineStr"/>
    </row>
    <row r="226" ht="15" customHeight="1">
      <c r="A226" t="inlineStr">
        <is>
          <t>A 10262-2022</t>
        </is>
      </c>
      <c r="B226" s="1" t="n">
        <v>44622</v>
      </c>
      <c r="C226" s="1" t="n">
        <v>45511</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10398-2022</t>
        </is>
      </c>
      <c r="B227" s="1" t="n">
        <v>44623</v>
      </c>
      <c r="C227" s="1" t="n">
        <v>45511</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10405-2022</t>
        </is>
      </c>
      <c r="B228" s="1" t="n">
        <v>44623</v>
      </c>
      <c r="C228" s="1" t="n">
        <v>45511</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10375-2022</t>
        </is>
      </c>
      <c r="B229" s="1" t="n">
        <v>44623</v>
      </c>
      <c r="C229" s="1" t="n">
        <v>45511</v>
      </c>
      <c r="D229" t="inlineStr">
        <is>
          <t>DALARNAS LÄN</t>
        </is>
      </c>
      <c r="E229" t="inlineStr">
        <is>
          <t>ORSA</t>
        </is>
      </c>
      <c r="G229" t="n">
        <v>4.8</v>
      </c>
      <c r="H229" t="n">
        <v>0</v>
      </c>
      <c r="I229" t="n">
        <v>0</v>
      </c>
      <c r="J229" t="n">
        <v>0</v>
      </c>
      <c r="K229" t="n">
        <v>0</v>
      </c>
      <c r="L229" t="n">
        <v>0</v>
      </c>
      <c r="M229" t="n">
        <v>0</v>
      </c>
      <c r="N229" t="n">
        <v>0</v>
      </c>
      <c r="O229" t="n">
        <v>0</v>
      </c>
      <c r="P229" t="n">
        <v>0</v>
      </c>
      <c r="Q229" t="n">
        <v>0</v>
      </c>
      <c r="R229" s="2" t="inlineStr"/>
    </row>
    <row r="230" ht="15" customHeight="1">
      <c r="A230" t="inlineStr">
        <is>
          <t>A 10832-2022</t>
        </is>
      </c>
      <c r="B230" s="1" t="n">
        <v>44627</v>
      </c>
      <c r="C230" s="1" t="n">
        <v>45511</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11138-2022</t>
        </is>
      </c>
      <c r="B231" s="1" t="n">
        <v>44629</v>
      </c>
      <c r="C231" s="1" t="n">
        <v>45511</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45511</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13236-2022</t>
        </is>
      </c>
      <c r="B233" s="1" t="n">
        <v>44644</v>
      </c>
      <c r="C233" s="1" t="n">
        <v>45511</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13185-2022</t>
        </is>
      </c>
      <c r="B234" s="1" t="n">
        <v>44644</v>
      </c>
      <c r="C234" s="1" t="n">
        <v>45511</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13209-2022</t>
        </is>
      </c>
      <c r="B235" s="1" t="n">
        <v>44644</v>
      </c>
      <c r="C235" s="1" t="n">
        <v>45511</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14535-2022</t>
        </is>
      </c>
      <c r="B236" s="1" t="n">
        <v>44655</v>
      </c>
      <c r="C236" s="1" t="n">
        <v>45511</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19067-2022</t>
        </is>
      </c>
      <c r="B237" s="1" t="n">
        <v>44691</v>
      </c>
      <c r="C237" s="1" t="n">
        <v>45511</v>
      </c>
      <c r="D237" t="inlineStr">
        <is>
          <t>DALARNAS LÄN</t>
        </is>
      </c>
      <c r="E237" t="inlineStr">
        <is>
          <t>ORSA</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45511</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20493-2022</t>
        </is>
      </c>
      <c r="B239" s="1" t="n">
        <v>44699</v>
      </c>
      <c r="C239" s="1" t="n">
        <v>45511</v>
      </c>
      <c r="D239" t="inlineStr">
        <is>
          <t>DALARNAS LÄN</t>
        </is>
      </c>
      <c r="E239" t="inlineStr">
        <is>
          <t>ORSA</t>
        </is>
      </c>
      <c r="F239" t="inlineStr">
        <is>
          <t>Bergvik skog väst AB</t>
        </is>
      </c>
      <c r="G239" t="n">
        <v>61.7</v>
      </c>
      <c r="H239" t="n">
        <v>0</v>
      </c>
      <c r="I239" t="n">
        <v>0</v>
      </c>
      <c r="J239" t="n">
        <v>0</v>
      </c>
      <c r="K239" t="n">
        <v>0</v>
      </c>
      <c r="L239" t="n">
        <v>0</v>
      </c>
      <c r="M239" t="n">
        <v>0</v>
      </c>
      <c r="N239" t="n">
        <v>0</v>
      </c>
      <c r="O239" t="n">
        <v>0</v>
      </c>
      <c r="P239" t="n">
        <v>0</v>
      </c>
      <c r="Q239" t="n">
        <v>0</v>
      </c>
      <c r="R239" s="2" t="inlineStr"/>
    </row>
    <row r="240" ht="15" customHeight="1">
      <c r="A240" t="inlineStr">
        <is>
          <t>A 21905-2022</t>
        </is>
      </c>
      <c r="B240" s="1" t="n">
        <v>44711</v>
      </c>
      <c r="C240" s="1" t="n">
        <v>45511</v>
      </c>
      <c r="D240" t="inlineStr">
        <is>
          <t>DALARNAS LÄN</t>
        </is>
      </c>
      <c r="E240" t="inlineStr">
        <is>
          <t>ORSA</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v>
      </c>
      <c r="C241" s="1" t="n">
        <v>45511</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22371-2022</t>
        </is>
      </c>
      <c r="B242" s="1" t="n">
        <v>44713</v>
      </c>
      <c r="C242" s="1" t="n">
        <v>45511</v>
      </c>
      <c r="D242" t="inlineStr">
        <is>
          <t>DALARNAS LÄN</t>
        </is>
      </c>
      <c r="E242" t="inlineStr">
        <is>
          <t>ORSA</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22813-2022</t>
        </is>
      </c>
      <c r="B243" s="1" t="n">
        <v>44715</v>
      </c>
      <c r="C243" s="1" t="n">
        <v>45511</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23348-2022</t>
        </is>
      </c>
      <c r="B244" s="1" t="n">
        <v>44720</v>
      </c>
      <c r="C244" s="1" t="n">
        <v>45511</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23344-2022</t>
        </is>
      </c>
      <c r="B245" s="1" t="n">
        <v>44720</v>
      </c>
      <c r="C245" s="1" t="n">
        <v>45511</v>
      </c>
      <c r="D245" t="inlineStr">
        <is>
          <t>DALARNAS LÄN</t>
        </is>
      </c>
      <c r="E245" t="inlineStr">
        <is>
          <t>ORSA</t>
        </is>
      </c>
      <c r="G245" t="n">
        <v>0.2</v>
      </c>
      <c r="H245" t="n">
        <v>0</v>
      </c>
      <c r="I245" t="n">
        <v>0</v>
      </c>
      <c r="J245" t="n">
        <v>0</v>
      </c>
      <c r="K245" t="n">
        <v>0</v>
      </c>
      <c r="L245" t="n">
        <v>0</v>
      </c>
      <c r="M245" t="n">
        <v>0</v>
      </c>
      <c r="N245" t="n">
        <v>0</v>
      </c>
      <c r="O245" t="n">
        <v>0</v>
      </c>
      <c r="P245" t="n">
        <v>0</v>
      </c>
      <c r="Q245" t="n">
        <v>0</v>
      </c>
      <c r="R245" s="2" t="inlineStr"/>
    </row>
    <row r="246" ht="15" customHeight="1">
      <c r="A246" t="inlineStr">
        <is>
          <t>A 23725-2022</t>
        </is>
      </c>
      <c r="B246" s="1" t="n">
        <v>44722</v>
      </c>
      <c r="C246" s="1" t="n">
        <v>45511</v>
      </c>
      <c r="D246" t="inlineStr">
        <is>
          <t>DALARNAS LÄN</t>
        </is>
      </c>
      <c r="E246" t="inlineStr">
        <is>
          <t>ORSA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23821-2022</t>
        </is>
      </c>
      <c r="B247" s="1" t="n">
        <v>44722</v>
      </c>
      <c r="C247" s="1" t="n">
        <v>45511</v>
      </c>
      <c r="D247" t="inlineStr">
        <is>
          <t>DALARNAS LÄN</t>
        </is>
      </c>
      <c r="E247" t="inlineStr">
        <is>
          <t>ORSA</t>
        </is>
      </c>
      <c r="F247" t="inlineStr">
        <is>
          <t>Allmännings- och besparingsskogar</t>
        </is>
      </c>
      <c r="G247" t="n">
        <v>1.7</v>
      </c>
      <c r="H247" t="n">
        <v>0</v>
      </c>
      <c r="I247" t="n">
        <v>0</v>
      </c>
      <c r="J247" t="n">
        <v>0</v>
      </c>
      <c r="K247" t="n">
        <v>0</v>
      </c>
      <c r="L247" t="n">
        <v>0</v>
      </c>
      <c r="M247" t="n">
        <v>0</v>
      </c>
      <c r="N247" t="n">
        <v>0</v>
      </c>
      <c r="O247" t="n">
        <v>0</v>
      </c>
      <c r="P247" t="n">
        <v>0</v>
      </c>
      <c r="Q247" t="n">
        <v>0</v>
      </c>
      <c r="R247" s="2" t="inlineStr"/>
    </row>
    <row r="248" ht="15" customHeight="1">
      <c r="A248" t="inlineStr">
        <is>
          <t>A 24438-2022</t>
        </is>
      </c>
      <c r="B248" s="1" t="n">
        <v>44726</v>
      </c>
      <c r="C248" s="1" t="n">
        <v>45511</v>
      </c>
      <c r="D248" t="inlineStr">
        <is>
          <t>DALARNAS LÄN</t>
        </is>
      </c>
      <c r="E248" t="inlineStr">
        <is>
          <t>ORSA</t>
        </is>
      </c>
      <c r="F248" t="inlineStr">
        <is>
          <t>Allmännings- och besparingsskogar</t>
        </is>
      </c>
      <c r="G248" t="n">
        <v>4.4</v>
      </c>
      <c r="H248" t="n">
        <v>0</v>
      </c>
      <c r="I248" t="n">
        <v>0</v>
      </c>
      <c r="J248" t="n">
        <v>0</v>
      </c>
      <c r="K248" t="n">
        <v>0</v>
      </c>
      <c r="L248" t="n">
        <v>0</v>
      </c>
      <c r="M248" t="n">
        <v>0</v>
      </c>
      <c r="N248" t="n">
        <v>0</v>
      </c>
      <c r="O248" t="n">
        <v>0</v>
      </c>
      <c r="P248" t="n">
        <v>0</v>
      </c>
      <c r="Q248" t="n">
        <v>0</v>
      </c>
      <c r="R248" s="2" t="inlineStr"/>
    </row>
    <row r="249" ht="15" customHeight="1">
      <c r="A249" t="inlineStr">
        <is>
          <t>A 24651-2022</t>
        </is>
      </c>
      <c r="B249" s="1" t="n">
        <v>44727</v>
      </c>
      <c r="C249" s="1" t="n">
        <v>45511</v>
      </c>
      <c r="D249" t="inlineStr">
        <is>
          <t>DALARNAS LÄN</t>
        </is>
      </c>
      <c r="E249" t="inlineStr">
        <is>
          <t>ORSA</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25172-2022</t>
        </is>
      </c>
      <c r="B250" s="1" t="n">
        <v>44729</v>
      </c>
      <c r="C250" s="1" t="n">
        <v>45511</v>
      </c>
      <c r="D250" t="inlineStr">
        <is>
          <t>DALARNAS LÄN</t>
        </is>
      </c>
      <c r="E250" t="inlineStr">
        <is>
          <t>ORSA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25591-2022</t>
        </is>
      </c>
      <c r="B251" s="1" t="n">
        <v>44732</v>
      </c>
      <c r="C251" s="1" t="n">
        <v>45511</v>
      </c>
      <c r="D251" t="inlineStr">
        <is>
          <t>DALARNAS LÄN</t>
        </is>
      </c>
      <c r="E251" t="inlineStr">
        <is>
          <t>ORSA</t>
        </is>
      </c>
      <c r="G251" t="n">
        <v>6</v>
      </c>
      <c r="H251" t="n">
        <v>0</v>
      </c>
      <c r="I251" t="n">
        <v>0</v>
      </c>
      <c r="J251" t="n">
        <v>0</v>
      </c>
      <c r="K251" t="n">
        <v>0</v>
      </c>
      <c r="L251" t="n">
        <v>0</v>
      </c>
      <c r="M251" t="n">
        <v>0</v>
      </c>
      <c r="N251" t="n">
        <v>0</v>
      </c>
      <c r="O251" t="n">
        <v>0</v>
      </c>
      <c r="P251" t="n">
        <v>0</v>
      </c>
      <c r="Q251" t="n">
        <v>0</v>
      </c>
      <c r="R251" s="2" t="inlineStr"/>
    </row>
    <row r="252" ht="15" customHeight="1">
      <c r="A252" t="inlineStr">
        <is>
          <t>A 26215-2022</t>
        </is>
      </c>
      <c r="B252" s="1" t="n">
        <v>44735</v>
      </c>
      <c r="C252" s="1" t="n">
        <v>45511</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27498-2022</t>
        </is>
      </c>
      <c r="B253" s="1" t="n">
        <v>44742</v>
      </c>
      <c r="C253" s="1" t="n">
        <v>45511</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29485-2022</t>
        </is>
      </c>
      <c r="B254" s="1" t="n">
        <v>44753</v>
      </c>
      <c r="C254" s="1" t="n">
        <v>45511</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30109-2022</t>
        </is>
      </c>
      <c r="B255" s="1" t="n">
        <v>44757</v>
      </c>
      <c r="C255" s="1" t="n">
        <v>45511</v>
      </c>
      <c r="D255" t="inlineStr">
        <is>
          <t>DALARNAS LÄN</t>
        </is>
      </c>
      <c r="E255" t="inlineStr">
        <is>
          <t>ORSA</t>
        </is>
      </c>
      <c r="F255" t="inlineStr">
        <is>
          <t>Allmännings- och besparingsskogar</t>
        </is>
      </c>
      <c r="G255" t="n">
        <v>0.8</v>
      </c>
      <c r="H255" t="n">
        <v>0</v>
      </c>
      <c r="I255" t="n">
        <v>0</v>
      </c>
      <c r="J255" t="n">
        <v>0</v>
      </c>
      <c r="K255" t="n">
        <v>0</v>
      </c>
      <c r="L255" t="n">
        <v>0</v>
      </c>
      <c r="M255" t="n">
        <v>0</v>
      </c>
      <c r="N255" t="n">
        <v>0</v>
      </c>
      <c r="O255" t="n">
        <v>0</v>
      </c>
      <c r="P255" t="n">
        <v>0</v>
      </c>
      <c r="Q255" t="n">
        <v>0</v>
      </c>
      <c r="R255" s="2" t="inlineStr"/>
    </row>
    <row r="256" ht="15" customHeight="1">
      <c r="A256" t="inlineStr">
        <is>
          <t>A 30690-2022</t>
        </is>
      </c>
      <c r="B256" s="1" t="n">
        <v>44763</v>
      </c>
      <c r="C256" s="1" t="n">
        <v>45511</v>
      </c>
      <c r="D256" t="inlineStr">
        <is>
          <t>DALARNAS LÄN</t>
        </is>
      </c>
      <c r="E256" t="inlineStr">
        <is>
          <t>ORSA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30861-2022</t>
        </is>
      </c>
      <c r="B257" s="1" t="n">
        <v>44767</v>
      </c>
      <c r="C257" s="1" t="n">
        <v>45511</v>
      </c>
      <c r="D257" t="inlineStr">
        <is>
          <t>DALARNAS LÄN</t>
        </is>
      </c>
      <c r="E257" t="inlineStr">
        <is>
          <t>ORSA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31164-2022</t>
        </is>
      </c>
      <c r="B258" s="1" t="n">
        <v>44770</v>
      </c>
      <c r="C258" s="1" t="n">
        <v>45511</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31876-2022</t>
        </is>
      </c>
      <c r="B259" s="1" t="n">
        <v>44777</v>
      </c>
      <c r="C259" s="1" t="n">
        <v>45511</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32931-2022</t>
        </is>
      </c>
      <c r="B260" s="1" t="n">
        <v>44784</v>
      </c>
      <c r="C260" s="1" t="n">
        <v>45511</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45511</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33945-2022</t>
        </is>
      </c>
      <c r="B262" s="1" t="n">
        <v>44790</v>
      </c>
      <c r="C262" s="1" t="n">
        <v>45511</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38303-2022</t>
        </is>
      </c>
      <c r="B263" s="1" t="n">
        <v>44812</v>
      </c>
      <c r="C263" s="1" t="n">
        <v>45511</v>
      </c>
      <c r="D263" t="inlineStr">
        <is>
          <t>DALARNAS LÄN</t>
        </is>
      </c>
      <c r="E263" t="inlineStr">
        <is>
          <t>ORSA</t>
        </is>
      </c>
      <c r="F263" t="inlineStr">
        <is>
          <t>Allmännings- och besparingsskogar</t>
        </is>
      </c>
      <c r="G263" t="n">
        <v>15.5</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v>
      </c>
      <c r="C264" s="1" t="n">
        <v>45511</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38960-2022</t>
        </is>
      </c>
      <c r="B265" s="1" t="n">
        <v>44816</v>
      </c>
      <c r="C265" s="1" t="n">
        <v>45511</v>
      </c>
      <c r="D265" t="inlineStr">
        <is>
          <t>DALARNAS LÄN</t>
        </is>
      </c>
      <c r="E265" t="inlineStr">
        <is>
          <t>ORSA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39818-2022</t>
        </is>
      </c>
      <c r="B266" s="1" t="n">
        <v>44819</v>
      </c>
      <c r="C266" s="1" t="n">
        <v>45511</v>
      </c>
      <c r="D266" t="inlineStr">
        <is>
          <t>DALARNAS LÄN</t>
        </is>
      </c>
      <c r="E266" t="inlineStr">
        <is>
          <t>ORSA</t>
        </is>
      </c>
      <c r="F266" t="inlineStr">
        <is>
          <t>Allmännings- och besparingsskogar</t>
        </is>
      </c>
      <c r="G266" t="n">
        <v>9.6</v>
      </c>
      <c r="H266" t="n">
        <v>0</v>
      </c>
      <c r="I266" t="n">
        <v>0</v>
      </c>
      <c r="J266" t="n">
        <v>0</v>
      </c>
      <c r="K266" t="n">
        <v>0</v>
      </c>
      <c r="L266" t="n">
        <v>0</v>
      </c>
      <c r="M266" t="n">
        <v>0</v>
      </c>
      <c r="N266" t="n">
        <v>0</v>
      </c>
      <c r="O266" t="n">
        <v>0</v>
      </c>
      <c r="P266" t="n">
        <v>0</v>
      </c>
      <c r="Q266" t="n">
        <v>0</v>
      </c>
      <c r="R266" s="2" t="inlineStr"/>
    </row>
    <row r="267" ht="15" customHeight="1">
      <c r="A267" t="inlineStr">
        <is>
          <t>A 39816-2022</t>
        </is>
      </c>
      <c r="B267" s="1" t="n">
        <v>44819</v>
      </c>
      <c r="C267" s="1" t="n">
        <v>45511</v>
      </c>
      <c r="D267" t="inlineStr">
        <is>
          <t>DALARNAS LÄN</t>
        </is>
      </c>
      <c r="E267" t="inlineStr">
        <is>
          <t>ORSA</t>
        </is>
      </c>
      <c r="F267" t="inlineStr">
        <is>
          <t>Allmännings- och besparingsskogar</t>
        </is>
      </c>
      <c r="G267" t="n">
        <v>4.3</v>
      </c>
      <c r="H267" t="n">
        <v>0</v>
      </c>
      <c r="I267" t="n">
        <v>0</v>
      </c>
      <c r="J267" t="n">
        <v>0</v>
      </c>
      <c r="K267" t="n">
        <v>0</v>
      </c>
      <c r="L267" t="n">
        <v>0</v>
      </c>
      <c r="M267" t="n">
        <v>0</v>
      </c>
      <c r="N267" t="n">
        <v>0</v>
      </c>
      <c r="O267" t="n">
        <v>0</v>
      </c>
      <c r="P267" t="n">
        <v>0</v>
      </c>
      <c r="Q267" t="n">
        <v>0</v>
      </c>
      <c r="R267" s="2" t="inlineStr"/>
    </row>
    <row r="268" ht="15" customHeight="1">
      <c r="A268" t="inlineStr">
        <is>
          <t>A 39893-2022</t>
        </is>
      </c>
      <c r="B268" s="1" t="n">
        <v>44819</v>
      </c>
      <c r="C268" s="1" t="n">
        <v>45511</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40945-2022</t>
        </is>
      </c>
      <c r="B269" s="1" t="n">
        <v>44825</v>
      </c>
      <c r="C269" s="1" t="n">
        <v>45511</v>
      </c>
      <c r="D269" t="inlineStr">
        <is>
          <t>DALARNAS LÄN</t>
        </is>
      </c>
      <c r="E269" t="inlineStr">
        <is>
          <t>ORSA</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42346-2022</t>
        </is>
      </c>
      <c r="B270" s="1" t="n">
        <v>44831</v>
      </c>
      <c r="C270" s="1" t="n">
        <v>45511</v>
      </c>
      <c r="D270" t="inlineStr">
        <is>
          <t>DALARNAS LÄN</t>
        </is>
      </c>
      <c r="E270" t="inlineStr">
        <is>
          <t>ORSA</t>
        </is>
      </c>
      <c r="G270" t="n">
        <v>2.4</v>
      </c>
      <c r="H270" t="n">
        <v>0</v>
      </c>
      <c r="I270" t="n">
        <v>0</v>
      </c>
      <c r="J270" t="n">
        <v>0</v>
      </c>
      <c r="K270" t="n">
        <v>0</v>
      </c>
      <c r="L270" t="n">
        <v>0</v>
      </c>
      <c r="M270" t="n">
        <v>0</v>
      </c>
      <c r="N270" t="n">
        <v>0</v>
      </c>
      <c r="O270" t="n">
        <v>0</v>
      </c>
      <c r="P270" t="n">
        <v>0</v>
      </c>
      <c r="Q270" t="n">
        <v>0</v>
      </c>
      <c r="R270" s="2" t="inlineStr"/>
    </row>
    <row r="271" ht="15" customHeight="1">
      <c r="A271" t="inlineStr">
        <is>
          <t>A 44035-2022</t>
        </is>
      </c>
      <c r="B271" s="1" t="n">
        <v>44839</v>
      </c>
      <c r="C271" s="1" t="n">
        <v>45511</v>
      </c>
      <c r="D271" t="inlineStr">
        <is>
          <t>DALARNAS LÄN</t>
        </is>
      </c>
      <c r="E271" t="inlineStr">
        <is>
          <t>ORSA</t>
        </is>
      </c>
      <c r="G271" t="n">
        <v>5.8</v>
      </c>
      <c r="H271" t="n">
        <v>0</v>
      </c>
      <c r="I271" t="n">
        <v>0</v>
      </c>
      <c r="J271" t="n">
        <v>0</v>
      </c>
      <c r="K271" t="n">
        <v>0</v>
      </c>
      <c r="L271" t="n">
        <v>0</v>
      </c>
      <c r="M271" t="n">
        <v>0</v>
      </c>
      <c r="N271" t="n">
        <v>0</v>
      </c>
      <c r="O271" t="n">
        <v>0</v>
      </c>
      <c r="P271" t="n">
        <v>0</v>
      </c>
      <c r="Q271" t="n">
        <v>0</v>
      </c>
      <c r="R271" s="2" t="inlineStr"/>
    </row>
    <row r="272" ht="15" customHeight="1">
      <c r="A272" t="inlineStr">
        <is>
          <t>A 44033-2022</t>
        </is>
      </c>
      <c r="B272" s="1" t="n">
        <v>44838</v>
      </c>
      <c r="C272" s="1" t="n">
        <v>45511</v>
      </c>
      <c r="D272" t="inlineStr">
        <is>
          <t>DALARNAS LÄN</t>
        </is>
      </c>
      <c r="E272" t="inlineStr">
        <is>
          <t>ORSA</t>
        </is>
      </c>
      <c r="G272" t="n">
        <v>5.3</v>
      </c>
      <c r="H272" t="n">
        <v>0</v>
      </c>
      <c r="I272" t="n">
        <v>0</v>
      </c>
      <c r="J272" t="n">
        <v>0</v>
      </c>
      <c r="K272" t="n">
        <v>0</v>
      </c>
      <c r="L272" t="n">
        <v>0</v>
      </c>
      <c r="M272" t="n">
        <v>0</v>
      </c>
      <c r="N272" t="n">
        <v>0</v>
      </c>
      <c r="O272" t="n">
        <v>0</v>
      </c>
      <c r="P272" t="n">
        <v>0</v>
      </c>
      <c r="Q272" t="n">
        <v>0</v>
      </c>
      <c r="R272" s="2" t="inlineStr"/>
    </row>
    <row r="273" ht="15" customHeight="1">
      <c r="A273" t="inlineStr">
        <is>
          <t>A 44257-2022</t>
        </is>
      </c>
      <c r="B273" s="1" t="n">
        <v>44839</v>
      </c>
      <c r="C273" s="1" t="n">
        <v>45511</v>
      </c>
      <c r="D273" t="inlineStr">
        <is>
          <t>DALARNAS LÄN</t>
        </is>
      </c>
      <c r="E273" t="inlineStr">
        <is>
          <t>ORSA</t>
        </is>
      </c>
      <c r="G273" t="n">
        <v>13.1</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45511</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46244-2022</t>
        </is>
      </c>
      <c r="B275" s="1" t="n">
        <v>44847</v>
      </c>
      <c r="C275" s="1" t="n">
        <v>45511</v>
      </c>
      <c r="D275" t="inlineStr">
        <is>
          <t>DALARNAS LÄN</t>
        </is>
      </c>
      <c r="E275" t="inlineStr">
        <is>
          <t>ORSA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47135-2022</t>
        </is>
      </c>
      <c r="B276" s="1" t="n">
        <v>44852</v>
      </c>
      <c r="C276" s="1" t="n">
        <v>45511</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47707-2022</t>
        </is>
      </c>
      <c r="B277" s="1" t="n">
        <v>44854</v>
      </c>
      <c r="C277" s="1" t="n">
        <v>45511</v>
      </c>
      <c r="D277" t="inlineStr">
        <is>
          <t>DALARNAS LÄN</t>
        </is>
      </c>
      <c r="E277" t="inlineStr">
        <is>
          <t>ORSA</t>
        </is>
      </c>
      <c r="F277" t="inlineStr">
        <is>
          <t>Bergvik skog öst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47740-2022</t>
        </is>
      </c>
      <c r="B278" s="1" t="n">
        <v>44854</v>
      </c>
      <c r="C278" s="1" t="n">
        <v>45511</v>
      </c>
      <c r="D278" t="inlineStr">
        <is>
          <t>DALARNAS LÄN</t>
        </is>
      </c>
      <c r="E278" t="inlineStr">
        <is>
          <t>ORSA</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47735-2022</t>
        </is>
      </c>
      <c r="B279" s="1" t="n">
        <v>44854</v>
      </c>
      <c r="C279" s="1" t="n">
        <v>45511</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47732-2022</t>
        </is>
      </c>
      <c r="B280" s="1" t="n">
        <v>44854</v>
      </c>
      <c r="C280" s="1" t="n">
        <v>45511</v>
      </c>
      <c r="D280" t="inlineStr">
        <is>
          <t>DALARNAS LÄN</t>
        </is>
      </c>
      <c r="E280" t="inlineStr">
        <is>
          <t>ORSA</t>
        </is>
      </c>
      <c r="F280" t="inlineStr">
        <is>
          <t>Bergvik skog öst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47746-2022</t>
        </is>
      </c>
      <c r="B281" s="1" t="n">
        <v>44854</v>
      </c>
      <c r="C281" s="1" t="n">
        <v>45511</v>
      </c>
      <c r="D281" t="inlineStr">
        <is>
          <t>DALARNAS LÄN</t>
        </is>
      </c>
      <c r="E281" t="inlineStr">
        <is>
          <t>ORSA</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47742-2022</t>
        </is>
      </c>
      <c r="B282" s="1" t="n">
        <v>44854</v>
      </c>
      <c r="C282" s="1" t="n">
        <v>45511</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48131-2022</t>
        </is>
      </c>
      <c r="B283" s="1" t="n">
        <v>44857</v>
      </c>
      <c r="C283" s="1" t="n">
        <v>45511</v>
      </c>
      <c r="D283" t="inlineStr">
        <is>
          <t>DALARNAS LÄN</t>
        </is>
      </c>
      <c r="E283" t="inlineStr">
        <is>
          <t>ORSA</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48132-2022</t>
        </is>
      </c>
      <c r="B284" s="1" t="n">
        <v>44857</v>
      </c>
      <c r="C284" s="1" t="n">
        <v>45511</v>
      </c>
      <c r="D284" t="inlineStr">
        <is>
          <t>DALARNAS LÄN</t>
        </is>
      </c>
      <c r="E284" t="inlineStr">
        <is>
          <t>ORSA</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48213-2022</t>
        </is>
      </c>
      <c r="B285" s="1" t="n">
        <v>44858</v>
      </c>
      <c r="C285" s="1" t="n">
        <v>45511</v>
      </c>
      <c r="D285" t="inlineStr">
        <is>
          <t>DALARNAS LÄN</t>
        </is>
      </c>
      <c r="E285" t="inlineStr">
        <is>
          <t>ORSA</t>
        </is>
      </c>
      <c r="F285" t="inlineStr">
        <is>
          <t>Allmännings- och besparingsskogar</t>
        </is>
      </c>
      <c r="G285" t="n">
        <v>4.1</v>
      </c>
      <c r="H285" t="n">
        <v>0</v>
      </c>
      <c r="I285" t="n">
        <v>0</v>
      </c>
      <c r="J285" t="n">
        <v>0</v>
      </c>
      <c r="K285" t="n">
        <v>0</v>
      </c>
      <c r="L285" t="n">
        <v>0</v>
      </c>
      <c r="M285" t="n">
        <v>0</v>
      </c>
      <c r="N285" t="n">
        <v>0</v>
      </c>
      <c r="O285" t="n">
        <v>0</v>
      </c>
      <c r="P285" t="n">
        <v>0</v>
      </c>
      <c r="Q285" t="n">
        <v>0</v>
      </c>
      <c r="R285" s="2" t="inlineStr"/>
    </row>
    <row r="286" ht="15" customHeight="1">
      <c r="A286" t="inlineStr">
        <is>
          <t>A 48696-2022</t>
        </is>
      </c>
      <c r="B286" s="1" t="n">
        <v>44859</v>
      </c>
      <c r="C286" s="1" t="n">
        <v>45511</v>
      </c>
      <c r="D286" t="inlineStr">
        <is>
          <t>DALARNAS LÄN</t>
        </is>
      </c>
      <c r="E286" t="inlineStr">
        <is>
          <t>ORSA</t>
        </is>
      </c>
      <c r="F286" t="inlineStr">
        <is>
          <t>Bergvik skog öst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50454-2022</t>
        </is>
      </c>
      <c r="B287" s="1" t="n">
        <v>44866</v>
      </c>
      <c r="C287" s="1" t="n">
        <v>45511</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50474-2022</t>
        </is>
      </c>
      <c r="B288" s="1" t="n">
        <v>44866</v>
      </c>
      <c r="C288" s="1" t="n">
        <v>45511</v>
      </c>
      <c r="D288" t="inlineStr">
        <is>
          <t>DALARNAS LÄN</t>
        </is>
      </c>
      <c r="E288" t="inlineStr">
        <is>
          <t>ORSA</t>
        </is>
      </c>
      <c r="G288" t="n">
        <v>0.6</v>
      </c>
      <c r="H288" t="n">
        <v>0</v>
      </c>
      <c r="I288" t="n">
        <v>0</v>
      </c>
      <c r="J288" t="n">
        <v>0</v>
      </c>
      <c r="K288" t="n">
        <v>0</v>
      </c>
      <c r="L288" t="n">
        <v>0</v>
      </c>
      <c r="M288" t="n">
        <v>0</v>
      </c>
      <c r="N288" t="n">
        <v>0</v>
      </c>
      <c r="O288" t="n">
        <v>0</v>
      </c>
      <c r="P288" t="n">
        <v>0</v>
      </c>
      <c r="Q288" t="n">
        <v>0</v>
      </c>
      <c r="R288" s="2" t="inlineStr"/>
    </row>
    <row r="289" ht="15" customHeight="1">
      <c r="A289" t="inlineStr">
        <is>
          <t>A 51395-2022</t>
        </is>
      </c>
      <c r="B289" s="1" t="n">
        <v>44869</v>
      </c>
      <c r="C289" s="1" t="n">
        <v>45511</v>
      </c>
      <c r="D289" t="inlineStr">
        <is>
          <t>DALARNAS LÄN</t>
        </is>
      </c>
      <c r="E289" t="inlineStr">
        <is>
          <t>ORSA</t>
        </is>
      </c>
      <c r="F289" t="inlineStr">
        <is>
          <t>Kyrkan</t>
        </is>
      </c>
      <c r="G289" t="n">
        <v>11.8</v>
      </c>
      <c r="H289" t="n">
        <v>0</v>
      </c>
      <c r="I289" t="n">
        <v>0</v>
      </c>
      <c r="J289" t="n">
        <v>0</v>
      </c>
      <c r="K289" t="n">
        <v>0</v>
      </c>
      <c r="L289" t="n">
        <v>0</v>
      </c>
      <c r="M289" t="n">
        <v>0</v>
      </c>
      <c r="N289" t="n">
        <v>0</v>
      </c>
      <c r="O289" t="n">
        <v>0</v>
      </c>
      <c r="P289" t="n">
        <v>0</v>
      </c>
      <c r="Q289" t="n">
        <v>0</v>
      </c>
      <c r="R289" s="2" t="inlineStr"/>
    </row>
    <row r="290" ht="15" customHeight="1">
      <c r="A290" t="inlineStr">
        <is>
          <t>A 51915-2022</t>
        </is>
      </c>
      <c r="B290" s="1" t="n">
        <v>44872</v>
      </c>
      <c r="C290" s="1" t="n">
        <v>45511</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51864-2022</t>
        </is>
      </c>
      <c r="B291" s="1" t="n">
        <v>44872</v>
      </c>
      <c r="C291" s="1" t="n">
        <v>45511</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52579-2022</t>
        </is>
      </c>
      <c r="B292" s="1" t="n">
        <v>44874</v>
      </c>
      <c r="C292" s="1" t="n">
        <v>45511</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52776-2022</t>
        </is>
      </c>
      <c r="B293" s="1" t="n">
        <v>44875</v>
      </c>
      <c r="C293" s="1" t="n">
        <v>45511</v>
      </c>
      <c r="D293" t="inlineStr">
        <is>
          <t>DALARNAS LÄN</t>
        </is>
      </c>
      <c r="E293" t="inlineStr">
        <is>
          <t>ORSA</t>
        </is>
      </c>
      <c r="F293" t="inlineStr">
        <is>
          <t>Allmännings- och besparingsskogar</t>
        </is>
      </c>
      <c r="G293" t="n">
        <v>4.4</v>
      </c>
      <c r="H293" t="n">
        <v>0</v>
      </c>
      <c r="I293" t="n">
        <v>0</v>
      </c>
      <c r="J293" t="n">
        <v>0</v>
      </c>
      <c r="K293" t="n">
        <v>0</v>
      </c>
      <c r="L293" t="n">
        <v>0</v>
      </c>
      <c r="M293" t="n">
        <v>0</v>
      </c>
      <c r="N293" t="n">
        <v>0</v>
      </c>
      <c r="O293" t="n">
        <v>0</v>
      </c>
      <c r="P293" t="n">
        <v>0</v>
      </c>
      <c r="Q293" t="n">
        <v>0</v>
      </c>
      <c r="R293" s="2" t="inlineStr"/>
    </row>
    <row r="294" ht="15" customHeight="1">
      <c r="A294" t="inlineStr">
        <is>
          <t>A 53693-2022</t>
        </is>
      </c>
      <c r="B294" s="1" t="n">
        <v>44880</v>
      </c>
      <c r="C294" s="1" t="n">
        <v>45511</v>
      </c>
      <c r="D294" t="inlineStr">
        <is>
          <t>DALARNAS LÄN</t>
        </is>
      </c>
      <c r="E294" t="inlineStr">
        <is>
          <t>ORSA</t>
        </is>
      </c>
      <c r="F294" t="inlineStr">
        <is>
          <t>Allmännings- och besparingsskogar</t>
        </is>
      </c>
      <c r="G294" t="n">
        <v>3</v>
      </c>
      <c r="H294" t="n">
        <v>0</v>
      </c>
      <c r="I294" t="n">
        <v>0</v>
      </c>
      <c r="J294" t="n">
        <v>0</v>
      </c>
      <c r="K294" t="n">
        <v>0</v>
      </c>
      <c r="L294" t="n">
        <v>0</v>
      </c>
      <c r="M294" t="n">
        <v>0</v>
      </c>
      <c r="N294" t="n">
        <v>0</v>
      </c>
      <c r="O294" t="n">
        <v>0</v>
      </c>
      <c r="P294" t="n">
        <v>0</v>
      </c>
      <c r="Q294" t="n">
        <v>0</v>
      </c>
      <c r="R294" s="2" t="inlineStr"/>
    </row>
    <row r="295" ht="15" customHeight="1">
      <c r="A295" t="inlineStr">
        <is>
          <t>A 53704-2022</t>
        </is>
      </c>
      <c r="B295" s="1" t="n">
        <v>44880</v>
      </c>
      <c r="C295" s="1" t="n">
        <v>45511</v>
      </c>
      <c r="D295" t="inlineStr">
        <is>
          <t>DALARNAS LÄN</t>
        </is>
      </c>
      <c r="E295" t="inlineStr">
        <is>
          <t>ORSA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53709-2022</t>
        </is>
      </c>
      <c r="B296" s="1" t="n">
        <v>44880</v>
      </c>
      <c r="C296" s="1" t="n">
        <v>45511</v>
      </c>
      <c r="D296" t="inlineStr">
        <is>
          <t>DALARNAS LÄN</t>
        </is>
      </c>
      <c r="E296" t="inlineStr">
        <is>
          <t>ORSA</t>
        </is>
      </c>
      <c r="F296" t="inlineStr">
        <is>
          <t>Allmännings- och besparingsskogar</t>
        </is>
      </c>
      <c r="G296" t="n">
        <v>3.3</v>
      </c>
      <c r="H296" t="n">
        <v>0</v>
      </c>
      <c r="I296" t="n">
        <v>0</v>
      </c>
      <c r="J296" t="n">
        <v>0</v>
      </c>
      <c r="K296" t="n">
        <v>0</v>
      </c>
      <c r="L296" t="n">
        <v>0</v>
      </c>
      <c r="M296" t="n">
        <v>0</v>
      </c>
      <c r="N296" t="n">
        <v>0</v>
      </c>
      <c r="O296" t="n">
        <v>0</v>
      </c>
      <c r="P296" t="n">
        <v>0</v>
      </c>
      <c r="Q296" t="n">
        <v>0</v>
      </c>
      <c r="R296" s="2" t="inlineStr"/>
    </row>
    <row r="297" ht="15" customHeight="1">
      <c r="A297" t="inlineStr">
        <is>
          <t>A 53831-2022</t>
        </is>
      </c>
      <c r="B297" s="1" t="n">
        <v>44880</v>
      </c>
      <c r="C297" s="1" t="n">
        <v>45511</v>
      </c>
      <c r="D297" t="inlineStr">
        <is>
          <t>DALARNAS LÄN</t>
        </is>
      </c>
      <c r="E297" t="inlineStr">
        <is>
          <t>ORSA</t>
        </is>
      </c>
      <c r="F297" t="inlineStr">
        <is>
          <t>Allmännings- och besparingsskogar</t>
        </is>
      </c>
      <c r="G297" t="n">
        <v>14.6</v>
      </c>
      <c r="H297" t="n">
        <v>0</v>
      </c>
      <c r="I297" t="n">
        <v>0</v>
      </c>
      <c r="J297" t="n">
        <v>0</v>
      </c>
      <c r="K297" t="n">
        <v>0</v>
      </c>
      <c r="L297" t="n">
        <v>0</v>
      </c>
      <c r="M297" t="n">
        <v>0</v>
      </c>
      <c r="N297" t="n">
        <v>0</v>
      </c>
      <c r="O297" t="n">
        <v>0</v>
      </c>
      <c r="P297" t="n">
        <v>0</v>
      </c>
      <c r="Q297" t="n">
        <v>0</v>
      </c>
      <c r="R297" s="2" t="inlineStr"/>
    </row>
    <row r="298" ht="15" customHeight="1">
      <c r="A298" t="inlineStr">
        <is>
          <t>A 55338-2022</t>
        </is>
      </c>
      <c r="B298" s="1" t="n">
        <v>44887</v>
      </c>
      <c r="C298" s="1" t="n">
        <v>45511</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55691-2022</t>
        </is>
      </c>
      <c r="B299" s="1" t="n">
        <v>44888</v>
      </c>
      <c r="C299" s="1" t="n">
        <v>45511</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56587-2022</t>
        </is>
      </c>
      <c r="B300" s="1" t="n">
        <v>44893</v>
      </c>
      <c r="C300" s="1" t="n">
        <v>45511</v>
      </c>
      <c r="D300" t="inlineStr">
        <is>
          <t>DALARNAS LÄN</t>
        </is>
      </c>
      <c r="E300" t="inlineStr">
        <is>
          <t>ORSA</t>
        </is>
      </c>
      <c r="F300" t="inlineStr">
        <is>
          <t>Allmännings- och besparingsskogar</t>
        </is>
      </c>
      <c r="G300" t="n">
        <v>1.1</v>
      </c>
      <c r="H300" t="n">
        <v>0</v>
      </c>
      <c r="I300" t="n">
        <v>0</v>
      </c>
      <c r="J300" t="n">
        <v>0</v>
      </c>
      <c r="K300" t="n">
        <v>0</v>
      </c>
      <c r="L300" t="n">
        <v>0</v>
      </c>
      <c r="M300" t="n">
        <v>0</v>
      </c>
      <c r="N300" t="n">
        <v>0</v>
      </c>
      <c r="O300" t="n">
        <v>0</v>
      </c>
      <c r="P300" t="n">
        <v>0</v>
      </c>
      <c r="Q300" t="n">
        <v>0</v>
      </c>
      <c r="R300" s="2" t="inlineStr"/>
    </row>
    <row r="301" ht="15" customHeight="1">
      <c r="A301" t="inlineStr">
        <is>
          <t>A 56632-2022</t>
        </is>
      </c>
      <c r="B301" s="1" t="n">
        <v>44893</v>
      </c>
      <c r="C301" s="1" t="n">
        <v>45511</v>
      </c>
      <c r="D301" t="inlineStr">
        <is>
          <t>DALARNAS LÄN</t>
        </is>
      </c>
      <c r="E301" t="inlineStr">
        <is>
          <t>ORSA</t>
        </is>
      </c>
      <c r="G301" t="n">
        <v>6.7</v>
      </c>
      <c r="H301" t="n">
        <v>0</v>
      </c>
      <c r="I301" t="n">
        <v>0</v>
      </c>
      <c r="J301" t="n">
        <v>0</v>
      </c>
      <c r="K301" t="n">
        <v>0</v>
      </c>
      <c r="L301" t="n">
        <v>0</v>
      </c>
      <c r="M301" t="n">
        <v>0</v>
      </c>
      <c r="N301" t="n">
        <v>0</v>
      </c>
      <c r="O301" t="n">
        <v>0</v>
      </c>
      <c r="P301" t="n">
        <v>0</v>
      </c>
      <c r="Q301" t="n">
        <v>0</v>
      </c>
      <c r="R301" s="2" t="inlineStr"/>
    </row>
    <row r="302" ht="15" customHeight="1">
      <c r="A302" t="inlineStr">
        <is>
          <t>A 56578-2022</t>
        </is>
      </c>
      <c r="B302" s="1" t="n">
        <v>44893</v>
      </c>
      <c r="C302" s="1" t="n">
        <v>45511</v>
      </c>
      <c r="D302" t="inlineStr">
        <is>
          <t>DALARNAS LÄN</t>
        </is>
      </c>
      <c r="E302" t="inlineStr">
        <is>
          <t>ORSA</t>
        </is>
      </c>
      <c r="F302" t="inlineStr">
        <is>
          <t>Allmännings- och besparingsskogar</t>
        </is>
      </c>
      <c r="G302" t="n">
        <v>2.3</v>
      </c>
      <c r="H302" t="n">
        <v>0</v>
      </c>
      <c r="I302" t="n">
        <v>0</v>
      </c>
      <c r="J302" t="n">
        <v>0</v>
      </c>
      <c r="K302" t="n">
        <v>0</v>
      </c>
      <c r="L302" t="n">
        <v>0</v>
      </c>
      <c r="M302" t="n">
        <v>0</v>
      </c>
      <c r="N302" t="n">
        <v>0</v>
      </c>
      <c r="O302" t="n">
        <v>0</v>
      </c>
      <c r="P302" t="n">
        <v>0</v>
      </c>
      <c r="Q302" t="n">
        <v>0</v>
      </c>
      <c r="R302" s="2" t="inlineStr"/>
    </row>
    <row r="303" ht="15" customHeight="1">
      <c r="A303" t="inlineStr">
        <is>
          <t>A 57552-2022</t>
        </is>
      </c>
      <c r="B303" s="1" t="n">
        <v>44896</v>
      </c>
      <c r="C303" s="1" t="n">
        <v>45511</v>
      </c>
      <c r="D303" t="inlineStr">
        <is>
          <t>DALARNAS LÄN</t>
        </is>
      </c>
      <c r="E303" t="inlineStr">
        <is>
          <t>ORSA</t>
        </is>
      </c>
      <c r="F303" t="inlineStr">
        <is>
          <t>Bergvik skog öst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57533-2022</t>
        </is>
      </c>
      <c r="B304" s="1" t="n">
        <v>44896</v>
      </c>
      <c r="C304" s="1" t="n">
        <v>45511</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58068-2022</t>
        </is>
      </c>
      <c r="B305" s="1" t="n">
        <v>44900</v>
      </c>
      <c r="C305" s="1" t="n">
        <v>45511</v>
      </c>
      <c r="D305" t="inlineStr">
        <is>
          <t>DALARNAS LÄN</t>
        </is>
      </c>
      <c r="E305" t="inlineStr">
        <is>
          <t>ORSA</t>
        </is>
      </c>
      <c r="F305" t="inlineStr">
        <is>
          <t>Bergvik skog öst AB</t>
        </is>
      </c>
      <c r="G305" t="n">
        <v>10.6</v>
      </c>
      <c r="H305" t="n">
        <v>0</v>
      </c>
      <c r="I305" t="n">
        <v>0</v>
      </c>
      <c r="J305" t="n">
        <v>0</v>
      </c>
      <c r="K305" t="n">
        <v>0</v>
      </c>
      <c r="L305" t="n">
        <v>0</v>
      </c>
      <c r="M305" t="n">
        <v>0</v>
      </c>
      <c r="N305" t="n">
        <v>0</v>
      </c>
      <c r="O305" t="n">
        <v>0</v>
      </c>
      <c r="P305" t="n">
        <v>0</v>
      </c>
      <c r="Q305" t="n">
        <v>0</v>
      </c>
      <c r="R305" s="2" t="inlineStr"/>
    </row>
    <row r="306" ht="15" customHeight="1">
      <c r="A306" t="inlineStr">
        <is>
          <t>A 58853-2022</t>
        </is>
      </c>
      <c r="B306" s="1" t="n">
        <v>44903</v>
      </c>
      <c r="C306" s="1" t="n">
        <v>45511</v>
      </c>
      <c r="D306" t="inlineStr">
        <is>
          <t>DALARNAS LÄN</t>
        </is>
      </c>
      <c r="E306" t="inlineStr">
        <is>
          <t>ORSA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58851-2022</t>
        </is>
      </c>
      <c r="B307" s="1" t="n">
        <v>44903</v>
      </c>
      <c r="C307" s="1" t="n">
        <v>45511</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58846-2022</t>
        </is>
      </c>
      <c r="B308" s="1" t="n">
        <v>44903</v>
      </c>
      <c r="C308" s="1" t="n">
        <v>45511</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59442-2022</t>
        </is>
      </c>
      <c r="B309" s="1" t="n">
        <v>44907</v>
      </c>
      <c r="C309" s="1" t="n">
        <v>45511</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59462-2022</t>
        </is>
      </c>
      <c r="B310" s="1" t="n">
        <v>44907</v>
      </c>
      <c r="C310" s="1" t="n">
        <v>45511</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59737-2022</t>
        </is>
      </c>
      <c r="B311" s="1" t="n">
        <v>44908</v>
      </c>
      <c r="C311" s="1" t="n">
        <v>45511</v>
      </c>
      <c r="D311" t="inlineStr">
        <is>
          <t>DALARNAS LÄN</t>
        </is>
      </c>
      <c r="E311" t="inlineStr">
        <is>
          <t>ORSA</t>
        </is>
      </c>
      <c r="G311" t="n">
        <v>3.5</v>
      </c>
      <c r="H311" t="n">
        <v>0</v>
      </c>
      <c r="I311" t="n">
        <v>0</v>
      </c>
      <c r="J311" t="n">
        <v>0</v>
      </c>
      <c r="K311" t="n">
        <v>0</v>
      </c>
      <c r="L311" t="n">
        <v>0</v>
      </c>
      <c r="M311" t="n">
        <v>0</v>
      </c>
      <c r="N311" t="n">
        <v>0</v>
      </c>
      <c r="O311" t="n">
        <v>0</v>
      </c>
      <c r="P311" t="n">
        <v>0</v>
      </c>
      <c r="Q311" t="n">
        <v>0</v>
      </c>
      <c r="R311" s="2" t="inlineStr"/>
    </row>
    <row r="312" ht="15" customHeight="1">
      <c r="A312" t="inlineStr">
        <is>
          <t>A 59944-2022</t>
        </is>
      </c>
      <c r="B312" s="1" t="n">
        <v>44909</v>
      </c>
      <c r="C312" s="1" t="n">
        <v>45511</v>
      </c>
      <c r="D312" t="inlineStr">
        <is>
          <t>DALARNAS LÄN</t>
        </is>
      </c>
      <c r="E312" t="inlineStr">
        <is>
          <t>ORSA</t>
        </is>
      </c>
      <c r="F312" t="inlineStr">
        <is>
          <t>Allmännings- och besparingsskogar</t>
        </is>
      </c>
      <c r="G312" t="n">
        <v>5</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45511</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60803-2022</t>
        </is>
      </c>
      <c r="B314" s="1" t="n">
        <v>44914</v>
      </c>
      <c r="C314" s="1" t="n">
        <v>45511</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61118-2022</t>
        </is>
      </c>
      <c r="B315" s="1" t="n">
        <v>44915</v>
      </c>
      <c r="C315" s="1" t="n">
        <v>45511</v>
      </c>
      <c r="D315" t="inlineStr">
        <is>
          <t>DALARNAS LÄN</t>
        </is>
      </c>
      <c r="E315" t="inlineStr">
        <is>
          <t>ORSA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61698-2022</t>
        </is>
      </c>
      <c r="B316" s="1" t="n">
        <v>44917</v>
      </c>
      <c r="C316" s="1" t="n">
        <v>45511</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61699-2022</t>
        </is>
      </c>
      <c r="B317" s="1" t="n">
        <v>44917</v>
      </c>
      <c r="C317" s="1" t="n">
        <v>45511</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61865-2022</t>
        </is>
      </c>
      <c r="B318" s="1" t="n">
        <v>44917</v>
      </c>
      <c r="C318" s="1" t="n">
        <v>45511</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159-2023</t>
        </is>
      </c>
      <c r="B319" s="1" t="n">
        <v>44928</v>
      </c>
      <c r="C319" s="1" t="n">
        <v>45511</v>
      </c>
      <c r="D319" t="inlineStr">
        <is>
          <t>DALARNAS LÄN</t>
        </is>
      </c>
      <c r="E319" t="inlineStr">
        <is>
          <t>ORSA</t>
        </is>
      </c>
      <c r="F319" t="inlineStr">
        <is>
          <t>Kyrkan</t>
        </is>
      </c>
      <c r="G319" t="n">
        <v>5.8</v>
      </c>
      <c r="H319" t="n">
        <v>0</v>
      </c>
      <c r="I319" t="n">
        <v>0</v>
      </c>
      <c r="J319" t="n">
        <v>0</v>
      </c>
      <c r="K319" t="n">
        <v>0</v>
      </c>
      <c r="L319" t="n">
        <v>0</v>
      </c>
      <c r="M319" t="n">
        <v>0</v>
      </c>
      <c r="N319" t="n">
        <v>0</v>
      </c>
      <c r="O319" t="n">
        <v>0</v>
      </c>
      <c r="P319" t="n">
        <v>0</v>
      </c>
      <c r="Q319" t="n">
        <v>0</v>
      </c>
      <c r="R319" s="2" t="inlineStr"/>
    </row>
    <row r="320" ht="15" customHeight="1">
      <c r="A320" t="inlineStr">
        <is>
          <t>A 162-2023</t>
        </is>
      </c>
      <c r="B320" s="1" t="n">
        <v>44928</v>
      </c>
      <c r="C320" s="1" t="n">
        <v>45511</v>
      </c>
      <c r="D320" t="inlineStr">
        <is>
          <t>DALARNAS LÄN</t>
        </is>
      </c>
      <c r="E320" t="inlineStr">
        <is>
          <t>ORSA</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160-2023</t>
        </is>
      </c>
      <c r="B321" s="1" t="n">
        <v>44928</v>
      </c>
      <c r="C321" s="1" t="n">
        <v>45511</v>
      </c>
      <c r="D321" t="inlineStr">
        <is>
          <t>DALARNAS LÄN</t>
        </is>
      </c>
      <c r="E321" t="inlineStr">
        <is>
          <t>ORSA</t>
        </is>
      </c>
      <c r="F321" t="inlineStr">
        <is>
          <t>Kyrkan</t>
        </is>
      </c>
      <c r="G321" t="n">
        <v>3.4</v>
      </c>
      <c r="H321" t="n">
        <v>0</v>
      </c>
      <c r="I321" t="n">
        <v>0</v>
      </c>
      <c r="J321" t="n">
        <v>0</v>
      </c>
      <c r="K321" t="n">
        <v>0</v>
      </c>
      <c r="L321" t="n">
        <v>0</v>
      </c>
      <c r="M321" t="n">
        <v>0</v>
      </c>
      <c r="N321" t="n">
        <v>0</v>
      </c>
      <c r="O321" t="n">
        <v>0</v>
      </c>
      <c r="P321" t="n">
        <v>0</v>
      </c>
      <c r="Q321" t="n">
        <v>0</v>
      </c>
      <c r="R321" s="2" t="inlineStr"/>
    </row>
    <row r="322" ht="15" customHeight="1">
      <c r="A322" t="inlineStr">
        <is>
          <t>A 2044-2023</t>
        </is>
      </c>
      <c r="B322" s="1" t="n">
        <v>44939</v>
      </c>
      <c r="C322" s="1" t="n">
        <v>45511</v>
      </c>
      <c r="D322" t="inlineStr">
        <is>
          <t>DALARNAS LÄN</t>
        </is>
      </c>
      <c r="E322" t="inlineStr">
        <is>
          <t>ORSA</t>
        </is>
      </c>
      <c r="G322" t="n">
        <v>4.1</v>
      </c>
      <c r="H322" t="n">
        <v>0</v>
      </c>
      <c r="I322" t="n">
        <v>0</v>
      </c>
      <c r="J322" t="n">
        <v>0</v>
      </c>
      <c r="K322" t="n">
        <v>0</v>
      </c>
      <c r="L322" t="n">
        <v>0</v>
      </c>
      <c r="M322" t="n">
        <v>0</v>
      </c>
      <c r="N322" t="n">
        <v>0</v>
      </c>
      <c r="O322" t="n">
        <v>0</v>
      </c>
      <c r="P322" t="n">
        <v>0</v>
      </c>
      <c r="Q322" t="n">
        <v>0</v>
      </c>
      <c r="R322" s="2" t="inlineStr"/>
    </row>
    <row r="323" ht="15" customHeight="1">
      <c r="A323" t="inlineStr">
        <is>
          <t>A 2228-2023</t>
        </is>
      </c>
      <c r="B323" s="1" t="n">
        <v>44942</v>
      </c>
      <c r="C323" s="1" t="n">
        <v>45511</v>
      </c>
      <c r="D323" t="inlineStr">
        <is>
          <t>DALARNAS LÄN</t>
        </is>
      </c>
      <c r="E323" t="inlineStr">
        <is>
          <t>ORSA</t>
        </is>
      </c>
      <c r="G323" t="n">
        <v>6.4</v>
      </c>
      <c r="H323" t="n">
        <v>0</v>
      </c>
      <c r="I323" t="n">
        <v>0</v>
      </c>
      <c r="J323" t="n">
        <v>0</v>
      </c>
      <c r="K323" t="n">
        <v>0</v>
      </c>
      <c r="L323" t="n">
        <v>0</v>
      </c>
      <c r="M323" t="n">
        <v>0</v>
      </c>
      <c r="N323" t="n">
        <v>0</v>
      </c>
      <c r="O323" t="n">
        <v>0</v>
      </c>
      <c r="P323" t="n">
        <v>0</v>
      </c>
      <c r="Q323" t="n">
        <v>0</v>
      </c>
      <c r="R323" s="2" t="inlineStr"/>
    </row>
    <row r="324" ht="15" customHeight="1">
      <c r="A324" t="inlineStr">
        <is>
          <t>A 3318-2023</t>
        </is>
      </c>
      <c r="B324" s="1" t="n">
        <v>44949</v>
      </c>
      <c r="C324" s="1" t="n">
        <v>45511</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3320-2023</t>
        </is>
      </c>
      <c r="B325" s="1" t="n">
        <v>44949</v>
      </c>
      <c r="C325" s="1" t="n">
        <v>45511</v>
      </c>
      <c r="D325" t="inlineStr">
        <is>
          <t>DALARNAS LÄN</t>
        </is>
      </c>
      <c r="E325" t="inlineStr">
        <is>
          <t>ORSA</t>
        </is>
      </c>
      <c r="G325" t="n">
        <v>1.9</v>
      </c>
      <c r="H325" t="n">
        <v>0</v>
      </c>
      <c r="I325" t="n">
        <v>0</v>
      </c>
      <c r="J325" t="n">
        <v>0</v>
      </c>
      <c r="K325" t="n">
        <v>0</v>
      </c>
      <c r="L325" t="n">
        <v>0</v>
      </c>
      <c r="M325" t="n">
        <v>0</v>
      </c>
      <c r="N325" t="n">
        <v>0</v>
      </c>
      <c r="O325" t="n">
        <v>0</v>
      </c>
      <c r="P325" t="n">
        <v>0</v>
      </c>
      <c r="Q325" t="n">
        <v>0</v>
      </c>
      <c r="R325" s="2" t="inlineStr"/>
    </row>
    <row r="326" ht="15" customHeight="1">
      <c r="A326" t="inlineStr">
        <is>
          <t>A 3720-2023</t>
        </is>
      </c>
      <c r="B326" s="1" t="n">
        <v>44951</v>
      </c>
      <c r="C326" s="1" t="n">
        <v>45511</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3951-2023</t>
        </is>
      </c>
      <c r="B327" s="1" t="n">
        <v>44952</v>
      </c>
      <c r="C327" s="1" t="n">
        <v>45511</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45511</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7814-2023</t>
        </is>
      </c>
      <c r="B329" s="1" t="n">
        <v>44973</v>
      </c>
      <c r="C329" s="1" t="n">
        <v>45511</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7878-2023</t>
        </is>
      </c>
      <c r="B330" s="1" t="n">
        <v>44973</v>
      </c>
      <c r="C330" s="1" t="n">
        <v>45511</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9466-2023</t>
        </is>
      </c>
      <c r="B331" s="1" t="n">
        <v>44981</v>
      </c>
      <c r="C331" s="1" t="n">
        <v>45511</v>
      </c>
      <c r="D331" t="inlineStr">
        <is>
          <t>DALARNAS LÄN</t>
        </is>
      </c>
      <c r="E331" t="inlineStr">
        <is>
          <t>ORSA</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10004-2023</t>
        </is>
      </c>
      <c r="B332" s="1" t="n">
        <v>44985</v>
      </c>
      <c r="C332" s="1" t="n">
        <v>45511</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v>
      </c>
      <c r="C333" s="1" t="n">
        <v>45511</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10227-2023</t>
        </is>
      </c>
      <c r="B334" s="1" t="n">
        <v>44986</v>
      </c>
      <c r="C334" s="1" t="n">
        <v>45511</v>
      </c>
      <c r="D334" t="inlineStr">
        <is>
          <t>DALARNAS LÄN</t>
        </is>
      </c>
      <c r="E334" t="inlineStr">
        <is>
          <t>ORSA</t>
        </is>
      </c>
      <c r="G334" t="n">
        <v>3.1</v>
      </c>
      <c r="H334" t="n">
        <v>0</v>
      </c>
      <c r="I334" t="n">
        <v>0</v>
      </c>
      <c r="J334" t="n">
        <v>0</v>
      </c>
      <c r="K334" t="n">
        <v>0</v>
      </c>
      <c r="L334" t="n">
        <v>0</v>
      </c>
      <c r="M334" t="n">
        <v>0</v>
      </c>
      <c r="N334" t="n">
        <v>0</v>
      </c>
      <c r="O334" t="n">
        <v>0</v>
      </c>
      <c r="P334" t="n">
        <v>0</v>
      </c>
      <c r="Q334" t="n">
        <v>0</v>
      </c>
      <c r="R334" s="2" t="inlineStr"/>
    </row>
    <row r="335" ht="15" customHeight="1">
      <c r="A335" t="inlineStr">
        <is>
          <t>A 10359-2023</t>
        </is>
      </c>
      <c r="B335" s="1" t="n">
        <v>44987</v>
      </c>
      <c r="C335" s="1" t="n">
        <v>45511</v>
      </c>
      <c r="D335" t="inlineStr">
        <is>
          <t>DALARNAS LÄN</t>
        </is>
      </c>
      <c r="E335" t="inlineStr">
        <is>
          <t>ORSA</t>
        </is>
      </c>
      <c r="G335" t="n">
        <v>2.5</v>
      </c>
      <c r="H335" t="n">
        <v>0</v>
      </c>
      <c r="I335" t="n">
        <v>0</v>
      </c>
      <c r="J335" t="n">
        <v>0</v>
      </c>
      <c r="K335" t="n">
        <v>0</v>
      </c>
      <c r="L335" t="n">
        <v>0</v>
      </c>
      <c r="M335" t="n">
        <v>0</v>
      </c>
      <c r="N335" t="n">
        <v>0</v>
      </c>
      <c r="O335" t="n">
        <v>0</v>
      </c>
      <c r="P335" t="n">
        <v>0</v>
      </c>
      <c r="Q335" t="n">
        <v>0</v>
      </c>
      <c r="R335" s="2" t="inlineStr"/>
    </row>
    <row r="336" ht="15" customHeight="1">
      <c r="A336" t="inlineStr">
        <is>
          <t>A 10374-2023</t>
        </is>
      </c>
      <c r="B336" s="1" t="n">
        <v>44987</v>
      </c>
      <c r="C336" s="1" t="n">
        <v>45511</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11595-2023</t>
        </is>
      </c>
      <c r="B337" s="1" t="n">
        <v>44994</v>
      </c>
      <c r="C337" s="1" t="n">
        <v>45511</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12065-2023</t>
        </is>
      </c>
      <c r="B338" s="1" t="n">
        <v>44997</v>
      </c>
      <c r="C338" s="1" t="n">
        <v>45511</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v>
      </c>
      <c r="C339" s="1" t="n">
        <v>45511</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15594-2023</t>
        </is>
      </c>
      <c r="B340" s="1" t="n">
        <v>45020</v>
      </c>
      <c r="C340" s="1" t="n">
        <v>45511</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16423-2023</t>
        </is>
      </c>
      <c r="B341" s="1" t="n">
        <v>45029</v>
      </c>
      <c r="C341" s="1" t="n">
        <v>45511</v>
      </c>
      <c r="D341" t="inlineStr">
        <is>
          <t>DALARNAS LÄN</t>
        </is>
      </c>
      <c r="E341" t="inlineStr">
        <is>
          <t>ORSA</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16585-2023</t>
        </is>
      </c>
      <c r="B342" s="1" t="n">
        <v>45030</v>
      </c>
      <c r="C342" s="1" t="n">
        <v>45511</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18037-2023</t>
        </is>
      </c>
      <c r="B343" s="1" t="n">
        <v>45040</v>
      </c>
      <c r="C343" s="1" t="n">
        <v>45511</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18069-2023</t>
        </is>
      </c>
      <c r="B344" s="1" t="n">
        <v>45040</v>
      </c>
      <c r="C344" s="1" t="n">
        <v>45511</v>
      </c>
      <c r="D344" t="inlineStr">
        <is>
          <t>DALARNAS LÄN</t>
        </is>
      </c>
      <c r="E344" t="inlineStr">
        <is>
          <t>ORSA</t>
        </is>
      </c>
      <c r="G344" t="n">
        <v>3.7</v>
      </c>
      <c r="H344" t="n">
        <v>0</v>
      </c>
      <c r="I344" t="n">
        <v>0</v>
      </c>
      <c r="J344" t="n">
        <v>0</v>
      </c>
      <c r="K344" t="n">
        <v>0</v>
      </c>
      <c r="L344" t="n">
        <v>0</v>
      </c>
      <c r="M344" t="n">
        <v>0</v>
      </c>
      <c r="N344" t="n">
        <v>0</v>
      </c>
      <c r="O344" t="n">
        <v>0</v>
      </c>
      <c r="P344" t="n">
        <v>0</v>
      </c>
      <c r="Q344" t="n">
        <v>0</v>
      </c>
      <c r="R344" s="2" t="inlineStr"/>
    </row>
    <row r="345" ht="15" customHeight="1">
      <c r="A345" t="inlineStr">
        <is>
          <t>A 18009-2023</t>
        </is>
      </c>
      <c r="B345" s="1" t="n">
        <v>45040</v>
      </c>
      <c r="C345" s="1" t="n">
        <v>45511</v>
      </c>
      <c r="D345" t="inlineStr">
        <is>
          <t>DALARNAS LÄN</t>
        </is>
      </c>
      <c r="E345" t="inlineStr">
        <is>
          <t>ORSA</t>
        </is>
      </c>
      <c r="G345" t="n">
        <v>5.8</v>
      </c>
      <c r="H345" t="n">
        <v>0</v>
      </c>
      <c r="I345" t="n">
        <v>0</v>
      </c>
      <c r="J345" t="n">
        <v>0</v>
      </c>
      <c r="K345" t="n">
        <v>0</v>
      </c>
      <c r="L345" t="n">
        <v>0</v>
      </c>
      <c r="M345" t="n">
        <v>0</v>
      </c>
      <c r="N345" t="n">
        <v>0</v>
      </c>
      <c r="O345" t="n">
        <v>0</v>
      </c>
      <c r="P345" t="n">
        <v>0</v>
      </c>
      <c r="Q345" t="n">
        <v>0</v>
      </c>
      <c r="R345" s="2" t="inlineStr"/>
    </row>
    <row r="346" ht="15" customHeight="1">
      <c r="A346" t="inlineStr">
        <is>
          <t>A 18070-2023</t>
        </is>
      </c>
      <c r="B346" s="1" t="n">
        <v>45040</v>
      </c>
      <c r="C346" s="1" t="n">
        <v>45511</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18817-2023</t>
        </is>
      </c>
      <c r="B347" s="1" t="n">
        <v>45043</v>
      </c>
      <c r="C347" s="1" t="n">
        <v>45511</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19266-2023</t>
        </is>
      </c>
      <c r="B348" s="1" t="n">
        <v>45049</v>
      </c>
      <c r="C348" s="1" t="n">
        <v>45511</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20302-2023</t>
        </is>
      </c>
      <c r="B349" s="1" t="n">
        <v>45056</v>
      </c>
      <c r="C349" s="1" t="n">
        <v>45511</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20493-2023</t>
        </is>
      </c>
      <c r="B350" s="1" t="n">
        <v>45057</v>
      </c>
      <c r="C350" s="1" t="n">
        <v>45511</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20561-2023</t>
        </is>
      </c>
      <c r="B351" s="1" t="n">
        <v>45057</v>
      </c>
      <c r="C351" s="1" t="n">
        <v>45511</v>
      </c>
      <c r="D351" t="inlineStr">
        <is>
          <t>DALARNAS LÄN</t>
        </is>
      </c>
      <c r="E351" t="inlineStr">
        <is>
          <t>ORSA</t>
        </is>
      </c>
      <c r="F351" t="inlineStr">
        <is>
          <t>Allmännings- och besparingsskogar</t>
        </is>
      </c>
      <c r="G351" t="n">
        <v>4.3</v>
      </c>
      <c r="H351" t="n">
        <v>0</v>
      </c>
      <c r="I351" t="n">
        <v>0</v>
      </c>
      <c r="J351" t="n">
        <v>0</v>
      </c>
      <c r="K351" t="n">
        <v>0</v>
      </c>
      <c r="L351" t="n">
        <v>0</v>
      </c>
      <c r="M351" t="n">
        <v>0</v>
      </c>
      <c r="N351" t="n">
        <v>0</v>
      </c>
      <c r="O351" t="n">
        <v>0</v>
      </c>
      <c r="P351" t="n">
        <v>0</v>
      </c>
      <c r="Q351" t="n">
        <v>0</v>
      </c>
      <c r="R351" s="2" t="inlineStr"/>
    </row>
    <row r="352" ht="15" customHeight="1">
      <c r="A352" t="inlineStr">
        <is>
          <t>A 20741-2023</t>
        </is>
      </c>
      <c r="B352" s="1" t="n">
        <v>45058</v>
      </c>
      <c r="C352" s="1" t="n">
        <v>45511</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20927-2023</t>
        </is>
      </c>
      <c r="B353" s="1" t="n">
        <v>45061</v>
      </c>
      <c r="C353" s="1" t="n">
        <v>45511</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21301-2023</t>
        </is>
      </c>
      <c r="B354" s="1" t="n">
        <v>45062</v>
      </c>
      <c r="C354" s="1" t="n">
        <v>45511</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21216-2023</t>
        </is>
      </c>
      <c r="B355" s="1" t="n">
        <v>45062</v>
      </c>
      <c r="C355" s="1" t="n">
        <v>45511</v>
      </c>
      <c r="D355" t="inlineStr">
        <is>
          <t>DALARNAS LÄN</t>
        </is>
      </c>
      <c r="E355" t="inlineStr">
        <is>
          <t>ORSA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21560-2023</t>
        </is>
      </c>
      <c r="B356" s="1" t="n">
        <v>45063</v>
      </c>
      <c r="C356" s="1" t="n">
        <v>45511</v>
      </c>
      <c r="D356" t="inlineStr">
        <is>
          <t>DALARNAS LÄN</t>
        </is>
      </c>
      <c r="E356" t="inlineStr">
        <is>
          <t>ORSA</t>
        </is>
      </c>
      <c r="F356" t="inlineStr">
        <is>
          <t>Bergvik skog öst AB</t>
        </is>
      </c>
      <c r="G356" t="n">
        <v>19.1</v>
      </c>
      <c r="H356" t="n">
        <v>0</v>
      </c>
      <c r="I356" t="n">
        <v>0</v>
      </c>
      <c r="J356" t="n">
        <v>0</v>
      </c>
      <c r="K356" t="n">
        <v>0</v>
      </c>
      <c r="L356" t="n">
        <v>0</v>
      </c>
      <c r="M356" t="n">
        <v>0</v>
      </c>
      <c r="N356" t="n">
        <v>0</v>
      </c>
      <c r="O356" t="n">
        <v>0</v>
      </c>
      <c r="P356" t="n">
        <v>0</v>
      </c>
      <c r="Q356" t="n">
        <v>0</v>
      </c>
      <c r="R356" s="2" t="inlineStr"/>
    </row>
    <row r="357" ht="15" customHeight="1">
      <c r="A357" t="inlineStr">
        <is>
          <t>A 21595-2023</t>
        </is>
      </c>
      <c r="B357" s="1" t="n">
        <v>45063</v>
      </c>
      <c r="C357" s="1" t="n">
        <v>45511</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22902-2023</t>
        </is>
      </c>
      <c r="B358" s="1" t="n">
        <v>45072</v>
      </c>
      <c r="C358" s="1" t="n">
        <v>45511</v>
      </c>
      <c r="D358" t="inlineStr">
        <is>
          <t>DALARNAS LÄN</t>
        </is>
      </c>
      <c r="E358" t="inlineStr">
        <is>
          <t>ORSA</t>
        </is>
      </c>
      <c r="G358" t="n">
        <v>6.3</v>
      </c>
      <c r="H358" t="n">
        <v>0</v>
      </c>
      <c r="I358" t="n">
        <v>0</v>
      </c>
      <c r="J358" t="n">
        <v>0</v>
      </c>
      <c r="K358" t="n">
        <v>0</v>
      </c>
      <c r="L358" t="n">
        <v>0</v>
      </c>
      <c r="M358" t="n">
        <v>0</v>
      </c>
      <c r="N358" t="n">
        <v>0</v>
      </c>
      <c r="O358" t="n">
        <v>0</v>
      </c>
      <c r="P358" t="n">
        <v>0</v>
      </c>
      <c r="Q358" t="n">
        <v>0</v>
      </c>
      <c r="R358" s="2" t="inlineStr"/>
    </row>
    <row r="359" ht="15" customHeight="1">
      <c r="A359" t="inlineStr">
        <is>
          <t>A 22912-2023</t>
        </is>
      </c>
      <c r="B359" s="1" t="n">
        <v>45072</v>
      </c>
      <c r="C359" s="1" t="n">
        <v>45511</v>
      </c>
      <c r="D359" t="inlineStr">
        <is>
          <t>DALARNAS LÄN</t>
        </is>
      </c>
      <c r="E359" t="inlineStr">
        <is>
          <t>ORSA</t>
        </is>
      </c>
      <c r="G359" t="n">
        <v>3.6</v>
      </c>
      <c r="H359" t="n">
        <v>0</v>
      </c>
      <c r="I359" t="n">
        <v>0</v>
      </c>
      <c r="J359" t="n">
        <v>0</v>
      </c>
      <c r="K359" t="n">
        <v>0</v>
      </c>
      <c r="L359" t="n">
        <v>0</v>
      </c>
      <c r="M359" t="n">
        <v>0</v>
      </c>
      <c r="N359" t="n">
        <v>0</v>
      </c>
      <c r="O359" t="n">
        <v>0</v>
      </c>
      <c r="P359" t="n">
        <v>0</v>
      </c>
      <c r="Q359" t="n">
        <v>0</v>
      </c>
      <c r="R359" s="2" t="inlineStr"/>
    </row>
    <row r="360" ht="15" customHeight="1">
      <c r="A360" t="inlineStr">
        <is>
          <t>A 22911-2023</t>
        </is>
      </c>
      <c r="B360" s="1" t="n">
        <v>45072</v>
      </c>
      <c r="C360" s="1" t="n">
        <v>45511</v>
      </c>
      <c r="D360" t="inlineStr">
        <is>
          <t>DALARNAS LÄN</t>
        </is>
      </c>
      <c r="E360" t="inlineStr">
        <is>
          <t>ORSA</t>
        </is>
      </c>
      <c r="G360" t="n">
        <v>1.3</v>
      </c>
      <c r="H360" t="n">
        <v>0</v>
      </c>
      <c r="I360" t="n">
        <v>0</v>
      </c>
      <c r="J360" t="n">
        <v>0</v>
      </c>
      <c r="K360" t="n">
        <v>0</v>
      </c>
      <c r="L360" t="n">
        <v>0</v>
      </c>
      <c r="M360" t="n">
        <v>0</v>
      </c>
      <c r="N360" t="n">
        <v>0</v>
      </c>
      <c r="O360" t="n">
        <v>0</v>
      </c>
      <c r="P360" t="n">
        <v>0</v>
      </c>
      <c r="Q360" t="n">
        <v>0</v>
      </c>
      <c r="R360" s="2" t="inlineStr"/>
    </row>
    <row r="361" ht="15" customHeight="1">
      <c r="A361" t="inlineStr">
        <is>
          <t>A 23031-2023</t>
        </is>
      </c>
      <c r="B361" s="1" t="n">
        <v>45074</v>
      </c>
      <c r="C361" s="1" t="n">
        <v>45511</v>
      </c>
      <c r="D361" t="inlineStr">
        <is>
          <t>DALARNAS LÄN</t>
        </is>
      </c>
      <c r="E361" t="inlineStr">
        <is>
          <t>ORSA</t>
        </is>
      </c>
      <c r="G361" t="n">
        <v>5.9</v>
      </c>
      <c r="H361" t="n">
        <v>0</v>
      </c>
      <c r="I361" t="n">
        <v>0</v>
      </c>
      <c r="J361" t="n">
        <v>0</v>
      </c>
      <c r="K361" t="n">
        <v>0</v>
      </c>
      <c r="L361" t="n">
        <v>0</v>
      </c>
      <c r="M361" t="n">
        <v>0</v>
      </c>
      <c r="N361" t="n">
        <v>0</v>
      </c>
      <c r="O361" t="n">
        <v>0</v>
      </c>
      <c r="P361" t="n">
        <v>0</v>
      </c>
      <c r="Q361" t="n">
        <v>0</v>
      </c>
      <c r="R361" s="2" t="inlineStr"/>
    </row>
    <row r="362" ht="15" customHeight="1">
      <c r="A362" t="inlineStr">
        <is>
          <t>A 23457-2023</t>
        </is>
      </c>
      <c r="B362" s="1" t="n">
        <v>45076</v>
      </c>
      <c r="C362" s="1" t="n">
        <v>45511</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23461-2023</t>
        </is>
      </c>
      <c r="B363" s="1" t="n">
        <v>45076</v>
      </c>
      <c r="C363" s="1" t="n">
        <v>45511</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23987-2023</t>
        </is>
      </c>
      <c r="B364" s="1" t="n">
        <v>45078</v>
      </c>
      <c r="C364" s="1" t="n">
        <v>45511</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23988-2023</t>
        </is>
      </c>
      <c r="B365" s="1" t="n">
        <v>45078</v>
      </c>
      <c r="C365" s="1" t="n">
        <v>45511</v>
      </c>
      <c r="D365" t="inlineStr">
        <is>
          <t>DALARNAS LÄN</t>
        </is>
      </c>
      <c r="E365" t="inlineStr">
        <is>
          <t>ORSA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24126-2023</t>
        </is>
      </c>
      <c r="B366" s="1" t="n">
        <v>45079</v>
      </c>
      <c r="C366" s="1" t="n">
        <v>45511</v>
      </c>
      <c r="D366" t="inlineStr">
        <is>
          <t>DALARNAS LÄN</t>
        </is>
      </c>
      <c r="E366" t="inlineStr">
        <is>
          <t>ORSA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24282-2023</t>
        </is>
      </c>
      <c r="B367" s="1" t="n">
        <v>45079</v>
      </c>
      <c r="C367" s="1" t="n">
        <v>45511</v>
      </c>
      <c r="D367" t="inlineStr">
        <is>
          <t>DALARNAS LÄN</t>
        </is>
      </c>
      <c r="E367" t="inlineStr">
        <is>
          <t>ORSA</t>
        </is>
      </c>
      <c r="F367" t="inlineStr">
        <is>
          <t>Allmännings- och besparingsskogar</t>
        </is>
      </c>
      <c r="G367" t="n">
        <v>2.8</v>
      </c>
      <c r="H367" t="n">
        <v>0</v>
      </c>
      <c r="I367" t="n">
        <v>0</v>
      </c>
      <c r="J367" t="n">
        <v>0</v>
      </c>
      <c r="K367" t="n">
        <v>0</v>
      </c>
      <c r="L367" t="n">
        <v>0</v>
      </c>
      <c r="M367" t="n">
        <v>0</v>
      </c>
      <c r="N367" t="n">
        <v>0</v>
      </c>
      <c r="O367" t="n">
        <v>0</v>
      </c>
      <c r="P367" t="n">
        <v>0</v>
      </c>
      <c r="Q367" t="n">
        <v>0</v>
      </c>
      <c r="R367" s="2" t="inlineStr"/>
    </row>
    <row r="368" ht="15" customHeight="1">
      <c r="A368" t="inlineStr">
        <is>
          <t>A 25753-2023</t>
        </is>
      </c>
      <c r="B368" s="1" t="n">
        <v>45090</v>
      </c>
      <c r="C368" s="1" t="n">
        <v>45511</v>
      </c>
      <c r="D368" t="inlineStr">
        <is>
          <t>DALARNAS LÄN</t>
        </is>
      </c>
      <c r="E368" t="inlineStr">
        <is>
          <t>ORSA</t>
        </is>
      </c>
      <c r="G368" t="n">
        <v>20.4</v>
      </c>
      <c r="H368" t="n">
        <v>0</v>
      </c>
      <c r="I368" t="n">
        <v>0</v>
      </c>
      <c r="J368" t="n">
        <v>0</v>
      </c>
      <c r="K368" t="n">
        <v>0</v>
      </c>
      <c r="L368" t="n">
        <v>0</v>
      </c>
      <c r="M368" t="n">
        <v>0</v>
      </c>
      <c r="N368" t="n">
        <v>0</v>
      </c>
      <c r="O368" t="n">
        <v>0</v>
      </c>
      <c r="P368" t="n">
        <v>0</v>
      </c>
      <c r="Q368" t="n">
        <v>0</v>
      </c>
      <c r="R368" s="2" t="inlineStr"/>
    </row>
    <row r="369" ht="15" customHeight="1">
      <c r="A369" t="inlineStr">
        <is>
          <t>A 25862-2023</t>
        </is>
      </c>
      <c r="B369" s="1" t="n">
        <v>45090</v>
      </c>
      <c r="C369" s="1" t="n">
        <v>45511</v>
      </c>
      <c r="D369" t="inlineStr">
        <is>
          <t>DALARNAS LÄN</t>
        </is>
      </c>
      <c r="E369" t="inlineStr">
        <is>
          <t>ORSA</t>
        </is>
      </c>
      <c r="G369" t="n">
        <v>3.1</v>
      </c>
      <c r="H369" t="n">
        <v>0</v>
      </c>
      <c r="I369" t="n">
        <v>0</v>
      </c>
      <c r="J369" t="n">
        <v>0</v>
      </c>
      <c r="K369" t="n">
        <v>0</v>
      </c>
      <c r="L369" t="n">
        <v>0</v>
      </c>
      <c r="M369" t="n">
        <v>0</v>
      </c>
      <c r="N369" t="n">
        <v>0</v>
      </c>
      <c r="O369" t="n">
        <v>0</v>
      </c>
      <c r="P369" t="n">
        <v>0</v>
      </c>
      <c r="Q369" t="n">
        <v>0</v>
      </c>
      <c r="R369" s="2" t="inlineStr"/>
    </row>
    <row r="370" ht="15" customHeight="1">
      <c r="A370" t="inlineStr">
        <is>
          <t>A 25888-2023</t>
        </is>
      </c>
      <c r="B370" s="1" t="n">
        <v>45090</v>
      </c>
      <c r="C370" s="1" t="n">
        <v>45511</v>
      </c>
      <c r="D370" t="inlineStr">
        <is>
          <t>DALARNAS LÄN</t>
        </is>
      </c>
      <c r="E370" t="inlineStr">
        <is>
          <t>ORSA</t>
        </is>
      </c>
      <c r="F370" t="inlineStr">
        <is>
          <t>Bergvik skog öst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25859-2023</t>
        </is>
      </c>
      <c r="B371" s="1" t="n">
        <v>45090</v>
      </c>
      <c r="C371" s="1" t="n">
        <v>45511</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26285-2023</t>
        </is>
      </c>
      <c r="B372" s="1" t="n">
        <v>45091</v>
      </c>
      <c r="C372" s="1" t="n">
        <v>45511</v>
      </c>
      <c r="D372" t="inlineStr">
        <is>
          <t>DALARNAS LÄN</t>
        </is>
      </c>
      <c r="E372" t="inlineStr">
        <is>
          <t>ORSA</t>
        </is>
      </c>
      <c r="G372" t="n">
        <v>16.7</v>
      </c>
      <c r="H372" t="n">
        <v>0</v>
      </c>
      <c r="I372" t="n">
        <v>0</v>
      </c>
      <c r="J372" t="n">
        <v>0</v>
      </c>
      <c r="K372" t="n">
        <v>0</v>
      </c>
      <c r="L372" t="n">
        <v>0</v>
      </c>
      <c r="M372" t="n">
        <v>0</v>
      </c>
      <c r="N372" t="n">
        <v>0</v>
      </c>
      <c r="O372" t="n">
        <v>0</v>
      </c>
      <c r="P372" t="n">
        <v>0</v>
      </c>
      <c r="Q372" t="n">
        <v>0</v>
      </c>
      <c r="R372" s="2" t="inlineStr"/>
    </row>
    <row r="373" ht="15" customHeight="1">
      <c r="A373" t="inlineStr">
        <is>
          <t>A 26261-2023</t>
        </is>
      </c>
      <c r="B373" s="1" t="n">
        <v>45091</v>
      </c>
      <c r="C373" s="1" t="n">
        <v>45511</v>
      </c>
      <c r="D373" t="inlineStr">
        <is>
          <t>DALARNAS LÄN</t>
        </is>
      </c>
      <c r="E373" t="inlineStr">
        <is>
          <t>ORSA</t>
        </is>
      </c>
      <c r="G373" t="n">
        <v>33.5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45511</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26288-2023</t>
        </is>
      </c>
      <c r="B375" s="1" t="n">
        <v>45091</v>
      </c>
      <c r="C375" s="1" t="n">
        <v>45511</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26294-2023</t>
        </is>
      </c>
      <c r="B376" s="1" t="n">
        <v>45091</v>
      </c>
      <c r="C376" s="1" t="n">
        <v>45511</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26088-2023</t>
        </is>
      </c>
      <c r="B377" s="1" t="n">
        <v>45091</v>
      </c>
      <c r="C377" s="1" t="n">
        <v>45511</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v>
      </c>
      <c r="C378" s="1" t="n">
        <v>45511</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27531-2023</t>
        </is>
      </c>
      <c r="B379" s="1" t="n">
        <v>45097</v>
      </c>
      <c r="C379" s="1" t="n">
        <v>45511</v>
      </c>
      <c r="D379" t="inlineStr">
        <is>
          <t>DALARNAS LÄN</t>
        </is>
      </c>
      <c r="E379" t="inlineStr">
        <is>
          <t>ORSA</t>
        </is>
      </c>
      <c r="F379" t="inlineStr">
        <is>
          <t>Allmännings- och besparingsskogar</t>
        </is>
      </c>
      <c r="G379" t="n">
        <v>13.4</v>
      </c>
      <c r="H379" t="n">
        <v>0</v>
      </c>
      <c r="I379" t="n">
        <v>0</v>
      </c>
      <c r="J379" t="n">
        <v>0</v>
      </c>
      <c r="K379" t="n">
        <v>0</v>
      </c>
      <c r="L379" t="n">
        <v>0</v>
      </c>
      <c r="M379" t="n">
        <v>0</v>
      </c>
      <c r="N379" t="n">
        <v>0</v>
      </c>
      <c r="O379" t="n">
        <v>0</v>
      </c>
      <c r="P379" t="n">
        <v>0</v>
      </c>
      <c r="Q379" t="n">
        <v>0</v>
      </c>
      <c r="R379" s="2" t="inlineStr"/>
    </row>
    <row r="380" ht="15" customHeight="1">
      <c r="A380" t="inlineStr">
        <is>
          <t>A 28082-2023</t>
        </is>
      </c>
      <c r="B380" s="1" t="n">
        <v>45099</v>
      </c>
      <c r="C380" s="1" t="n">
        <v>45511</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28196-2023</t>
        </is>
      </c>
      <c r="B381" s="1" t="n">
        <v>45099</v>
      </c>
      <c r="C381" s="1" t="n">
        <v>45511</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45511</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28195-2023</t>
        </is>
      </c>
      <c r="B383" s="1" t="n">
        <v>45099</v>
      </c>
      <c r="C383" s="1" t="n">
        <v>45511</v>
      </c>
      <c r="D383" t="inlineStr">
        <is>
          <t>DALARNAS LÄN</t>
        </is>
      </c>
      <c r="E383" t="inlineStr">
        <is>
          <t>ORSA</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30474-2023</t>
        </is>
      </c>
      <c r="B384" s="1" t="n">
        <v>45099</v>
      </c>
      <c r="C384" s="1" t="n">
        <v>45511</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30464-2023</t>
        </is>
      </c>
      <c r="B385" s="1" t="n">
        <v>45099</v>
      </c>
      <c r="C385" s="1" t="n">
        <v>45511</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v>
      </c>
      <c r="C386" s="1" t="n">
        <v>45511</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28511-2023</t>
        </is>
      </c>
      <c r="B387" s="1" t="n">
        <v>45103</v>
      </c>
      <c r="C387" s="1" t="n">
        <v>45511</v>
      </c>
      <c r="D387" t="inlineStr">
        <is>
          <t>DALARNAS LÄN</t>
        </is>
      </c>
      <c r="E387" t="inlineStr">
        <is>
          <t>ORSA</t>
        </is>
      </c>
      <c r="F387" t="inlineStr">
        <is>
          <t>Allmännings- och besparingsskogar</t>
        </is>
      </c>
      <c r="G387" t="n">
        <v>41.4</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45511</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29041-2023</t>
        </is>
      </c>
      <c r="B389" s="1" t="n">
        <v>45104</v>
      </c>
      <c r="C389" s="1" t="n">
        <v>45511</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30458-2023</t>
        </is>
      </c>
      <c r="B390" s="1" t="n">
        <v>45111</v>
      </c>
      <c r="C390" s="1" t="n">
        <v>45511</v>
      </c>
      <c r="D390" t="inlineStr">
        <is>
          <t>DALARNAS LÄN</t>
        </is>
      </c>
      <c r="E390" t="inlineStr">
        <is>
          <t>ORSA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30356-2023</t>
        </is>
      </c>
      <c r="B391" s="1" t="n">
        <v>45111</v>
      </c>
      <c r="C391" s="1" t="n">
        <v>45511</v>
      </c>
      <c r="D391" t="inlineStr">
        <is>
          <t>DALARNAS LÄN</t>
        </is>
      </c>
      <c r="E391" t="inlineStr">
        <is>
          <t>ORSA</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30389-2023</t>
        </is>
      </c>
      <c r="B392" s="1" t="n">
        <v>45111</v>
      </c>
      <c r="C392" s="1" t="n">
        <v>45511</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30382-2023</t>
        </is>
      </c>
      <c r="B393" s="1" t="n">
        <v>45111</v>
      </c>
      <c r="C393" s="1" t="n">
        <v>45511</v>
      </c>
      <c r="D393" t="inlineStr">
        <is>
          <t>DALARNAS LÄN</t>
        </is>
      </c>
      <c r="E393" t="inlineStr">
        <is>
          <t>ORSA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30392-2023</t>
        </is>
      </c>
      <c r="B394" s="1" t="n">
        <v>45111</v>
      </c>
      <c r="C394" s="1" t="n">
        <v>45511</v>
      </c>
      <c r="D394" t="inlineStr">
        <is>
          <t>DALARNAS LÄN</t>
        </is>
      </c>
      <c r="E394" t="inlineStr">
        <is>
          <t>ORSA</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30664-2023</t>
        </is>
      </c>
      <c r="B395" s="1" t="n">
        <v>45112</v>
      </c>
      <c r="C395" s="1" t="n">
        <v>45511</v>
      </c>
      <c r="D395" t="inlineStr">
        <is>
          <t>DALARNAS LÄN</t>
        </is>
      </c>
      <c r="E395" t="inlineStr">
        <is>
          <t>ORSA</t>
        </is>
      </c>
      <c r="F395" t="inlineStr">
        <is>
          <t>Allmännings- och besparingsskogar</t>
        </is>
      </c>
      <c r="G395" t="n">
        <v>18.1</v>
      </c>
      <c r="H395" t="n">
        <v>0</v>
      </c>
      <c r="I395" t="n">
        <v>0</v>
      </c>
      <c r="J395" t="n">
        <v>0</v>
      </c>
      <c r="K395" t="n">
        <v>0</v>
      </c>
      <c r="L395" t="n">
        <v>0</v>
      </c>
      <c r="M395" t="n">
        <v>0</v>
      </c>
      <c r="N395" t="n">
        <v>0</v>
      </c>
      <c r="O395" t="n">
        <v>0</v>
      </c>
      <c r="P395" t="n">
        <v>0</v>
      </c>
      <c r="Q395" t="n">
        <v>0</v>
      </c>
      <c r="R395" s="2" t="inlineStr"/>
    </row>
    <row r="396" ht="15" customHeight="1">
      <c r="A396" t="inlineStr">
        <is>
          <t>A 31031-2023</t>
        </is>
      </c>
      <c r="B396" s="1" t="n">
        <v>45113</v>
      </c>
      <c r="C396" s="1" t="n">
        <v>45511</v>
      </c>
      <c r="D396" t="inlineStr">
        <is>
          <t>DALARNAS LÄN</t>
        </is>
      </c>
      <c r="E396" t="inlineStr">
        <is>
          <t>ORSA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31044-2023</t>
        </is>
      </c>
      <c r="B397" s="1" t="n">
        <v>45113</v>
      </c>
      <c r="C397" s="1" t="n">
        <v>45511</v>
      </c>
      <c r="D397" t="inlineStr">
        <is>
          <t>DALARNAS LÄN</t>
        </is>
      </c>
      <c r="E397" t="inlineStr">
        <is>
          <t>ORSA</t>
        </is>
      </c>
      <c r="G397" t="n">
        <v>4.6</v>
      </c>
      <c r="H397" t="n">
        <v>0</v>
      </c>
      <c r="I397" t="n">
        <v>0</v>
      </c>
      <c r="J397" t="n">
        <v>0</v>
      </c>
      <c r="K397" t="n">
        <v>0</v>
      </c>
      <c r="L397" t="n">
        <v>0</v>
      </c>
      <c r="M397" t="n">
        <v>0</v>
      </c>
      <c r="N397" t="n">
        <v>0</v>
      </c>
      <c r="O397" t="n">
        <v>0</v>
      </c>
      <c r="P397" t="n">
        <v>0</v>
      </c>
      <c r="Q397" t="n">
        <v>0</v>
      </c>
      <c r="R397" s="2" t="inlineStr"/>
    </row>
    <row r="398" ht="15" customHeight="1">
      <c r="A398" t="inlineStr">
        <is>
          <t>A 31026-2023</t>
        </is>
      </c>
      <c r="B398" s="1" t="n">
        <v>45113</v>
      </c>
      <c r="C398" s="1" t="n">
        <v>45511</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31059-2023</t>
        </is>
      </c>
      <c r="B399" s="1" t="n">
        <v>45113</v>
      </c>
      <c r="C399" s="1" t="n">
        <v>45511</v>
      </c>
      <c r="D399" t="inlineStr">
        <is>
          <t>DALARNAS LÄN</t>
        </is>
      </c>
      <c r="E399" t="inlineStr">
        <is>
          <t>ORSA</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45511</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31174-2023</t>
        </is>
      </c>
      <c r="B401" s="1" t="n">
        <v>45113</v>
      </c>
      <c r="C401" s="1" t="n">
        <v>45511</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45511</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31172-2023</t>
        </is>
      </c>
      <c r="B403" s="1" t="n">
        <v>45113</v>
      </c>
      <c r="C403" s="1" t="n">
        <v>45511</v>
      </c>
      <c r="D403" t="inlineStr">
        <is>
          <t>DALARNAS LÄN</t>
        </is>
      </c>
      <c r="E403" t="inlineStr">
        <is>
          <t>ORSA</t>
        </is>
      </c>
      <c r="G403" t="n">
        <v>2.9</v>
      </c>
      <c r="H403" t="n">
        <v>0</v>
      </c>
      <c r="I403" t="n">
        <v>0</v>
      </c>
      <c r="J403" t="n">
        <v>0</v>
      </c>
      <c r="K403" t="n">
        <v>0</v>
      </c>
      <c r="L403" t="n">
        <v>0</v>
      </c>
      <c r="M403" t="n">
        <v>0</v>
      </c>
      <c r="N403" t="n">
        <v>0</v>
      </c>
      <c r="O403" t="n">
        <v>0</v>
      </c>
      <c r="P403" t="n">
        <v>0</v>
      </c>
      <c r="Q403" t="n">
        <v>0</v>
      </c>
      <c r="R403" s="2" t="inlineStr"/>
    </row>
    <row r="404" ht="15" customHeight="1">
      <c r="A404" t="inlineStr">
        <is>
          <t>A 31409-2023</t>
        </is>
      </c>
      <c r="B404" s="1" t="n">
        <v>45114</v>
      </c>
      <c r="C404" s="1" t="n">
        <v>45511</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31782-2023</t>
        </is>
      </c>
      <c r="B405" s="1" t="n">
        <v>45118</v>
      </c>
      <c r="C405" s="1" t="n">
        <v>45511</v>
      </c>
      <c r="D405" t="inlineStr">
        <is>
          <t>DALARNAS LÄN</t>
        </is>
      </c>
      <c r="E405" t="inlineStr">
        <is>
          <t>ORSA</t>
        </is>
      </c>
      <c r="F405" t="inlineStr">
        <is>
          <t>Allmännings- och besparingsskogar</t>
        </is>
      </c>
      <c r="G405" t="n">
        <v>0.6</v>
      </c>
      <c r="H405" t="n">
        <v>0</v>
      </c>
      <c r="I405" t="n">
        <v>0</v>
      </c>
      <c r="J405" t="n">
        <v>0</v>
      </c>
      <c r="K405" t="n">
        <v>0</v>
      </c>
      <c r="L405" t="n">
        <v>0</v>
      </c>
      <c r="M405" t="n">
        <v>0</v>
      </c>
      <c r="N405" t="n">
        <v>0</v>
      </c>
      <c r="O405" t="n">
        <v>0</v>
      </c>
      <c r="P405" t="n">
        <v>0</v>
      </c>
      <c r="Q405" t="n">
        <v>0</v>
      </c>
      <c r="R405" s="2" t="inlineStr"/>
    </row>
    <row r="406" ht="15" customHeight="1">
      <c r="A406" t="inlineStr">
        <is>
          <t>A 31780-2023</t>
        </is>
      </c>
      <c r="B406" s="1" t="n">
        <v>45118</v>
      </c>
      <c r="C406" s="1" t="n">
        <v>45511</v>
      </c>
      <c r="D406" t="inlineStr">
        <is>
          <t>DALARNAS LÄN</t>
        </is>
      </c>
      <c r="E406" t="inlineStr">
        <is>
          <t>ORSA</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33753-2023</t>
        </is>
      </c>
      <c r="B407" s="1" t="n">
        <v>45120</v>
      </c>
      <c r="C407" s="1" t="n">
        <v>45511</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32983-2023</t>
        </is>
      </c>
      <c r="B408" s="1" t="n">
        <v>45125</v>
      </c>
      <c r="C408" s="1" t="n">
        <v>45511</v>
      </c>
      <c r="D408" t="inlineStr">
        <is>
          <t>DALARNAS LÄN</t>
        </is>
      </c>
      <c r="E408" t="inlineStr">
        <is>
          <t>ORSA</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32988-2023</t>
        </is>
      </c>
      <c r="B409" s="1" t="n">
        <v>45125</v>
      </c>
      <c r="C409" s="1" t="n">
        <v>45511</v>
      </c>
      <c r="D409" t="inlineStr">
        <is>
          <t>DALARNAS LÄN</t>
        </is>
      </c>
      <c r="E409" t="inlineStr">
        <is>
          <t>ORSA</t>
        </is>
      </c>
      <c r="F409" t="inlineStr">
        <is>
          <t>Allmännings- och besparingsskogar</t>
        </is>
      </c>
      <c r="G409" t="n">
        <v>2.7</v>
      </c>
      <c r="H409" t="n">
        <v>0</v>
      </c>
      <c r="I409" t="n">
        <v>0</v>
      </c>
      <c r="J409" t="n">
        <v>0</v>
      </c>
      <c r="K409" t="n">
        <v>0</v>
      </c>
      <c r="L409" t="n">
        <v>0</v>
      </c>
      <c r="M409" t="n">
        <v>0</v>
      </c>
      <c r="N409" t="n">
        <v>0</v>
      </c>
      <c r="O409" t="n">
        <v>0</v>
      </c>
      <c r="P409" t="n">
        <v>0</v>
      </c>
      <c r="Q409" t="n">
        <v>0</v>
      </c>
      <c r="R409" s="2" t="inlineStr"/>
    </row>
    <row r="410" ht="15" customHeight="1">
      <c r="A410" t="inlineStr">
        <is>
          <t>A 33348-2023</t>
        </is>
      </c>
      <c r="B410" s="1" t="n">
        <v>45128</v>
      </c>
      <c r="C410" s="1" t="n">
        <v>45511</v>
      </c>
      <c r="D410" t="inlineStr">
        <is>
          <t>DALARNAS LÄN</t>
        </is>
      </c>
      <c r="E410" t="inlineStr">
        <is>
          <t>ORSA</t>
        </is>
      </c>
      <c r="F410" t="inlineStr">
        <is>
          <t>Allmännings- och besparingsskogar</t>
        </is>
      </c>
      <c r="G410" t="n">
        <v>25.9</v>
      </c>
      <c r="H410" t="n">
        <v>0</v>
      </c>
      <c r="I410" t="n">
        <v>0</v>
      </c>
      <c r="J410" t="n">
        <v>0</v>
      </c>
      <c r="K410" t="n">
        <v>0</v>
      </c>
      <c r="L410" t="n">
        <v>0</v>
      </c>
      <c r="M410" t="n">
        <v>0</v>
      </c>
      <c r="N410" t="n">
        <v>0</v>
      </c>
      <c r="O410" t="n">
        <v>0</v>
      </c>
      <c r="P410" t="n">
        <v>0</v>
      </c>
      <c r="Q410" t="n">
        <v>0</v>
      </c>
      <c r="R410" s="2" t="inlineStr"/>
    </row>
    <row r="411" ht="15" customHeight="1">
      <c r="A411" t="inlineStr">
        <is>
          <t>A 33452-2023</t>
        </is>
      </c>
      <c r="B411" s="1" t="n">
        <v>45130</v>
      </c>
      <c r="C411" s="1" t="n">
        <v>45511</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33693-2023</t>
        </is>
      </c>
      <c r="B412" s="1" t="n">
        <v>45132</v>
      </c>
      <c r="C412" s="1" t="n">
        <v>45511</v>
      </c>
      <c r="D412" t="inlineStr">
        <is>
          <t>DALARNAS LÄN</t>
        </is>
      </c>
      <c r="E412" t="inlineStr">
        <is>
          <t>ORSA</t>
        </is>
      </c>
      <c r="G412" t="n">
        <v>22.8</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45511</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33823-2023</t>
        </is>
      </c>
      <c r="B414" s="1" t="n">
        <v>45133</v>
      </c>
      <c r="C414" s="1" t="n">
        <v>45511</v>
      </c>
      <c r="D414" t="inlineStr">
        <is>
          <t>DALARNAS LÄN</t>
        </is>
      </c>
      <c r="E414" t="inlineStr">
        <is>
          <t>ORSA</t>
        </is>
      </c>
      <c r="G414" t="n">
        <v>19.7</v>
      </c>
      <c r="H414" t="n">
        <v>0</v>
      </c>
      <c r="I414" t="n">
        <v>0</v>
      </c>
      <c r="J414" t="n">
        <v>0</v>
      </c>
      <c r="K414" t="n">
        <v>0</v>
      </c>
      <c r="L414" t="n">
        <v>0</v>
      </c>
      <c r="M414" t="n">
        <v>0</v>
      </c>
      <c r="N414" t="n">
        <v>0</v>
      </c>
      <c r="O414" t="n">
        <v>0</v>
      </c>
      <c r="P414" t="n">
        <v>0</v>
      </c>
      <c r="Q414" t="n">
        <v>0</v>
      </c>
      <c r="R414" s="2" t="inlineStr"/>
    </row>
    <row r="415" ht="15" customHeight="1">
      <c r="A415" t="inlineStr">
        <is>
          <t>A 33841-2023</t>
        </is>
      </c>
      <c r="B415" s="1" t="n">
        <v>45133</v>
      </c>
      <c r="C415" s="1" t="n">
        <v>45511</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33977-2023</t>
        </is>
      </c>
      <c r="B416" s="1" t="n">
        <v>45134</v>
      </c>
      <c r="C416" s="1" t="n">
        <v>45511</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34125-2023</t>
        </is>
      </c>
      <c r="B417" s="1" t="n">
        <v>45135</v>
      </c>
      <c r="C417" s="1" t="n">
        <v>45511</v>
      </c>
      <c r="D417" t="inlineStr">
        <is>
          <t>DALARNAS LÄN</t>
        </is>
      </c>
      <c r="E417" t="inlineStr">
        <is>
          <t>ORSA</t>
        </is>
      </c>
      <c r="G417" t="n">
        <v>2.7</v>
      </c>
      <c r="H417" t="n">
        <v>0</v>
      </c>
      <c r="I417" t="n">
        <v>0</v>
      </c>
      <c r="J417" t="n">
        <v>0</v>
      </c>
      <c r="K417" t="n">
        <v>0</v>
      </c>
      <c r="L417" t="n">
        <v>0</v>
      </c>
      <c r="M417" t="n">
        <v>0</v>
      </c>
      <c r="N417" t="n">
        <v>0</v>
      </c>
      <c r="O417" t="n">
        <v>0</v>
      </c>
      <c r="P417" t="n">
        <v>0</v>
      </c>
      <c r="Q417" t="n">
        <v>0</v>
      </c>
      <c r="R417" s="2" t="inlineStr"/>
    </row>
    <row r="418" ht="15" customHeight="1">
      <c r="A418" t="inlineStr">
        <is>
          <t>A 34131-2023</t>
        </is>
      </c>
      <c r="B418" s="1" t="n">
        <v>45135</v>
      </c>
      <c r="C418" s="1" t="n">
        <v>45511</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34169-2023</t>
        </is>
      </c>
      <c r="B419" s="1" t="n">
        <v>45138</v>
      </c>
      <c r="C419" s="1" t="n">
        <v>45511</v>
      </c>
      <c r="D419" t="inlineStr">
        <is>
          <t>DALARNAS LÄN</t>
        </is>
      </c>
      <c r="E419" t="inlineStr">
        <is>
          <t>ORSA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34197-2023</t>
        </is>
      </c>
      <c r="B420" s="1" t="n">
        <v>45138</v>
      </c>
      <c r="C420" s="1" t="n">
        <v>45511</v>
      </c>
      <c r="D420" t="inlineStr">
        <is>
          <t>DALARNAS LÄN</t>
        </is>
      </c>
      <c r="E420" t="inlineStr">
        <is>
          <t>ORSA</t>
        </is>
      </c>
      <c r="F420" t="inlineStr">
        <is>
          <t>Allmännings- och besparingsskogar</t>
        </is>
      </c>
      <c r="G420" t="n">
        <v>7.7</v>
      </c>
      <c r="H420" t="n">
        <v>0</v>
      </c>
      <c r="I420" t="n">
        <v>0</v>
      </c>
      <c r="J420" t="n">
        <v>0</v>
      </c>
      <c r="K420" t="n">
        <v>0</v>
      </c>
      <c r="L420" t="n">
        <v>0</v>
      </c>
      <c r="M420" t="n">
        <v>0</v>
      </c>
      <c r="N420" t="n">
        <v>0</v>
      </c>
      <c r="O420" t="n">
        <v>0</v>
      </c>
      <c r="P420" t="n">
        <v>0</v>
      </c>
      <c r="Q420" t="n">
        <v>0</v>
      </c>
      <c r="R420" s="2" t="inlineStr"/>
    </row>
    <row r="421" ht="15" customHeight="1">
      <c r="A421" t="inlineStr">
        <is>
          <t>A 34406-2023</t>
        </is>
      </c>
      <c r="B421" s="1" t="n">
        <v>45139</v>
      </c>
      <c r="C421" s="1" t="n">
        <v>45511</v>
      </c>
      <c r="D421" t="inlineStr">
        <is>
          <t>DALARNAS LÄN</t>
        </is>
      </c>
      <c r="E421" t="inlineStr">
        <is>
          <t>ORSA</t>
        </is>
      </c>
      <c r="F421" t="inlineStr">
        <is>
          <t>Allmännings- och besparingsskogar</t>
        </is>
      </c>
      <c r="G421" t="n">
        <v>30.8</v>
      </c>
      <c r="H421" t="n">
        <v>0</v>
      </c>
      <c r="I421" t="n">
        <v>0</v>
      </c>
      <c r="J421" t="n">
        <v>0</v>
      </c>
      <c r="K421" t="n">
        <v>0</v>
      </c>
      <c r="L421" t="n">
        <v>0</v>
      </c>
      <c r="M421" t="n">
        <v>0</v>
      </c>
      <c r="N421" t="n">
        <v>0</v>
      </c>
      <c r="O421" t="n">
        <v>0</v>
      </c>
      <c r="P421" t="n">
        <v>0</v>
      </c>
      <c r="Q421" t="n">
        <v>0</v>
      </c>
      <c r="R421" s="2" t="inlineStr"/>
    </row>
    <row r="422" ht="15" customHeight="1">
      <c r="A422" t="inlineStr">
        <is>
          <t>A 34345-2023</t>
        </is>
      </c>
      <c r="B422" s="1" t="n">
        <v>45139</v>
      </c>
      <c r="C422" s="1" t="n">
        <v>45511</v>
      </c>
      <c r="D422" t="inlineStr">
        <is>
          <t>DALARNAS LÄN</t>
        </is>
      </c>
      <c r="E422" t="inlineStr">
        <is>
          <t>ORSA</t>
        </is>
      </c>
      <c r="G422" t="n">
        <v>2.7</v>
      </c>
      <c r="H422" t="n">
        <v>0</v>
      </c>
      <c r="I422" t="n">
        <v>0</v>
      </c>
      <c r="J422" t="n">
        <v>0</v>
      </c>
      <c r="K422" t="n">
        <v>0</v>
      </c>
      <c r="L422" t="n">
        <v>0</v>
      </c>
      <c r="M422" t="n">
        <v>0</v>
      </c>
      <c r="N422" t="n">
        <v>0</v>
      </c>
      <c r="O422" t="n">
        <v>0</v>
      </c>
      <c r="P422" t="n">
        <v>0</v>
      </c>
      <c r="Q422" t="n">
        <v>0</v>
      </c>
      <c r="R422" s="2" t="inlineStr"/>
    </row>
    <row r="423" ht="15" customHeight="1">
      <c r="A423" t="inlineStr">
        <is>
          <t>A 35235-2023</t>
        </is>
      </c>
      <c r="B423" s="1" t="n">
        <v>45145</v>
      </c>
      <c r="C423" s="1" t="n">
        <v>45511</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35177-2023</t>
        </is>
      </c>
      <c r="B424" s="1" t="n">
        <v>45145</v>
      </c>
      <c r="C424" s="1" t="n">
        <v>45511</v>
      </c>
      <c r="D424" t="inlineStr">
        <is>
          <t>DALARNAS LÄN</t>
        </is>
      </c>
      <c r="E424" t="inlineStr">
        <is>
          <t>ORSA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35397-2023</t>
        </is>
      </c>
      <c r="B425" s="1" t="n">
        <v>45146</v>
      </c>
      <c r="C425" s="1" t="n">
        <v>45511</v>
      </c>
      <c r="D425" t="inlineStr">
        <is>
          <t>DALARNAS LÄN</t>
        </is>
      </c>
      <c r="E425" t="inlineStr">
        <is>
          <t>ORSA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35333-2023</t>
        </is>
      </c>
      <c r="B426" s="1" t="n">
        <v>45146</v>
      </c>
      <c r="C426" s="1" t="n">
        <v>45511</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35460-2023</t>
        </is>
      </c>
      <c r="B427" s="1" t="n">
        <v>45146</v>
      </c>
      <c r="C427" s="1" t="n">
        <v>45511</v>
      </c>
      <c r="D427" t="inlineStr">
        <is>
          <t>DALARNAS LÄN</t>
        </is>
      </c>
      <c r="E427" t="inlineStr">
        <is>
          <t>ORSA</t>
        </is>
      </c>
      <c r="G427" t="n">
        <v>3</v>
      </c>
      <c r="H427" t="n">
        <v>0</v>
      </c>
      <c r="I427" t="n">
        <v>0</v>
      </c>
      <c r="J427" t="n">
        <v>0</v>
      </c>
      <c r="K427" t="n">
        <v>0</v>
      </c>
      <c r="L427" t="n">
        <v>0</v>
      </c>
      <c r="M427" t="n">
        <v>0</v>
      </c>
      <c r="N427" t="n">
        <v>0</v>
      </c>
      <c r="O427" t="n">
        <v>0</v>
      </c>
      <c r="P427" t="n">
        <v>0</v>
      </c>
      <c r="Q427" t="n">
        <v>0</v>
      </c>
      <c r="R427" s="2" t="inlineStr"/>
    </row>
    <row r="428" ht="15" customHeight="1">
      <c r="A428" t="inlineStr">
        <is>
          <t>A 35477-2023</t>
        </is>
      </c>
      <c r="B428" s="1" t="n">
        <v>45146</v>
      </c>
      <c r="C428" s="1" t="n">
        <v>45511</v>
      </c>
      <c r="D428" t="inlineStr">
        <is>
          <t>DALARNAS LÄN</t>
        </is>
      </c>
      <c r="E428" t="inlineStr">
        <is>
          <t>ORSA</t>
        </is>
      </c>
      <c r="G428" t="n">
        <v>7.7</v>
      </c>
      <c r="H428" t="n">
        <v>0</v>
      </c>
      <c r="I428" t="n">
        <v>0</v>
      </c>
      <c r="J428" t="n">
        <v>0</v>
      </c>
      <c r="K428" t="n">
        <v>0</v>
      </c>
      <c r="L428" t="n">
        <v>0</v>
      </c>
      <c r="M428" t="n">
        <v>0</v>
      </c>
      <c r="N428" t="n">
        <v>0</v>
      </c>
      <c r="O428" t="n">
        <v>0</v>
      </c>
      <c r="P428" t="n">
        <v>0</v>
      </c>
      <c r="Q428" t="n">
        <v>0</v>
      </c>
      <c r="R428" s="2" t="inlineStr"/>
    </row>
    <row r="429" ht="15" customHeight="1">
      <c r="A429" t="inlineStr">
        <is>
          <t>A 35557-2023</t>
        </is>
      </c>
      <c r="B429" s="1" t="n">
        <v>45147</v>
      </c>
      <c r="C429" s="1" t="n">
        <v>45511</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36133-2023</t>
        </is>
      </c>
      <c r="B430" s="1" t="n">
        <v>45149</v>
      </c>
      <c r="C430" s="1" t="n">
        <v>45511</v>
      </c>
      <c r="D430" t="inlineStr">
        <is>
          <t>DALARNAS LÄN</t>
        </is>
      </c>
      <c r="E430" t="inlineStr">
        <is>
          <t>ORSA</t>
        </is>
      </c>
      <c r="G430" t="n">
        <v>9</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v>
      </c>
      <c r="C431" s="1" t="n">
        <v>45511</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36093-2023</t>
        </is>
      </c>
      <c r="B432" s="1" t="n">
        <v>45149</v>
      </c>
      <c r="C432" s="1" t="n">
        <v>45511</v>
      </c>
      <c r="D432" t="inlineStr">
        <is>
          <t>DALARNAS LÄN</t>
        </is>
      </c>
      <c r="E432" t="inlineStr">
        <is>
          <t>ORSA</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36427-2023</t>
        </is>
      </c>
      <c r="B433" s="1" t="n">
        <v>45152</v>
      </c>
      <c r="C433" s="1" t="n">
        <v>45511</v>
      </c>
      <c r="D433" t="inlineStr">
        <is>
          <t>DALARNAS LÄN</t>
        </is>
      </c>
      <c r="E433" t="inlineStr">
        <is>
          <t>ORSA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37023-2023</t>
        </is>
      </c>
      <c r="B434" s="1" t="n">
        <v>45155</v>
      </c>
      <c r="C434" s="1" t="n">
        <v>45511</v>
      </c>
      <c r="D434" t="inlineStr">
        <is>
          <t>DALARNAS LÄN</t>
        </is>
      </c>
      <c r="E434" t="inlineStr">
        <is>
          <t>ORSA</t>
        </is>
      </c>
      <c r="F434" t="inlineStr">
        <is>
          <t>Bergvik skog öst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37116-2023</t>
        </is>
      </c>
      <c r="B435" s="1" t="n">
        <v>45155</v>
      </c>
      <c r="C435" s="1" t="n">
        <v>45511</v>
      </c>
      <c r="D435" t="inlineStr">
        <is>
          <t>DALARNAS LÄN</t>
        </is>
      </c>
      <c r="E435" t="inlineStr">
        <is>
          <t>ORSA</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37124-2023</t>
        </is>
      </c>
      <c r="B436" s="1" t="n">
        <v>45155</v>
      </c>
      <c r="C436" s="1" t="n">
        <v>45511</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37151-2023</t>
        </is>
      </c>
      <c r="B437" s="1" t="n">
        <v>45155</v>
      </c>
      <c r="C437" s="1" t="n">
        <v>45511</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37193-2023</t>
        </is>
      </c>
      <c r="B438" s="1" t="n">
        <v>45155</v>
      </c>
      <c r="C438" s="1" t="n">
        <v>45511</v>
      </c>
      <c r="D438" t="inlineStr">
        <is>
          <t>DALARNAS LÄN</t>
        </is>
      </c>
      <c r="E438" t="inlineStr">
        <is>
          <t>ORSA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45511</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37770-2023</t>
        </is>
      </c>
      <c r="B440" s="1" t="n">
        <v>45159</v>
      </c>
      <c r="C440" s="1" t="n">
        <v>45511</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37931-2023</t>
        </is>
      </c>
      <c r="B441" s="1" t="n">
        <v>45160</v>
      </c>
      <c r="C441" s="1" t="n">
        <v>45511</v>
      </c>
      <c r="D441" t="inlineStr">
        <is>
          <t>DALARNAS LÄN</t>
        </is>
      </c>
      <c r="E441" t="inlineStr">
        <is>
          <t>ORSA</t>
        </is>
      </c>
      <c r="G441" t="n">
        <v>2.6</v>
      </c>
      <c r="H441" t="n">
        <v>0</v>
      </c>
      <c r="I441" t="n">
        <v>0</v>
      </c>
      <c r="J441" t="n">
        <v>0</v>
      </c>
      <c r="K441" t="n">
        <v>0</v>
      </c>
      <c r="L441" t="n">
        <v>0</v>
      </c>
      <c r="M441" t="n">
        <v>0</v>
      </c>
      <c r="N441" t="n">
        <v>0</v>
      </c>
      <c r="O441" t="n">
        <v>0</v>
      </c>
      <c r="P441" t="n">
        <v>0</v>
      </c>
      <c r="Q441" t="n">
        <v>0</v>
      </c>
      <c r="R441" s="2" t="inlineStr"/>
    </row>
    <row r="442" ht="15" customHeight="1">
      <c r="A442" t="inlineStr">
        <is>
          <t>A 38458-2023</t>
        </is>
      </c>
      <c r="B442" s="1" t="n">
        <v>45162</v>
      </c>
      <c r="C442" s="1" t="n">
        <v>45511</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38534-2023</t>
        </is>
      </c>
      <c r="B443" s="1" t="n">
        <v>45162</v>
      </c>
      <c r="C443" s="1" t="n">
        <v>45511</v>
      </c>
      <c r="D443" t="inlineStr">
        <is>
          <t>DALARNAS LÄN</t>
        </is>
      </c>
      <c r="E443" t="inlineStr">
        <is>
          <t>ORSA</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40003-2023</t>
        </is>
      </c>
      <c r="B444" s="1" t="n">
        <v>45168</v>
      </c>
      <c r="C444" s="1" t="n">
        <v>45511</v>
      </c>
      <c r="D444" t="inlineStr">
        <is>
          <t>DALARNAS LÄN</t>
        </is>
      </c>
      <c r="E444" t="inlineStr">
        <is>
          <t>ORSA</t>
        </is>
      </c>
      <c r="G444" t="n">
        <v>2.3</v>
      </c>
      <c r="H444" t="n">
        <v>0</v>
      </c>
      <c r="I444" t="n">
        <v>0</v>
      </c>
      <c r="J444" t="n">
        <v>0</v>
      </c>
      <c r="K444" t="n">
        <v>0</v>
      </c>
      <c r="L444" t="n">
        <v>0</v>
      </c>
      <c r="M444" t="n">
        <v>0</v>
      </c>
      <c r="N444" t="n">
        <v>0</v>
      </c>
      <c r="O444" t="n">
        <v>0</v>
      </c>
      <c r="P444" t="n">
        <v>0</v>
      </c>
      <c r="Q444" t="n">
        <v>0</v>
      </c>
      <c r="R444" s="2" t="inlineStr"/>
    </row>
    <row r="445" ht="15" customHeight="1">
      <c r="A445" t="inlineStr">
        <is>
          <t>A 40234-2023</t>
        </is>
      </c>
      <c r="B445" s="1" t="n">
        <v>45169</v>
      </c>
      <c r="C445" s="1" t="n">
        <v>45511</v>
      </c>
      <c r="D445" t="inlineStr">
        <is>
          <t>DALARNAS LÄN</t>
        </is>
      </c>
      <c r="E445" t="inlineStr">
        <is>
          <t>ORSA</t>
        </is>
      </c>
      <c r="F445" t="inlineStr">
        <is>
          <t>Allmännings- och besparingsskogar</t>
        </is>
      </c>
      <c r="G445" t="n">
        <v>0.8</v>
      </c>
      <c r="H445" t="n">
        <v>0</v>
      </c>
      <c r="I445" t="n">
        <v>0</v>
      </c>
      <c r="J445" t="n">
        <v>0</v>
      </c>
      <c r="K445" t="n">
        <v>0</v>
      </c>
      <c r="L445" t="n">
        <v>0</v>
      </c>
      <c r="M445" t="n">
        <v>0</v>
      </c>
      <c r="N445" t="n">
        <v>0</v>
      </c>
      <c r="O445" t="n">
        <v>0</v>
      </c>
      <c r="P445" t="n">
        <v>0</v>
      </c>
      <c r="Q445" t="n">
        <v>0</v>
      </c>
      <c r="R445" s="2" t="inlineStr"/>
    </row>
    <row r="446" ht="15" customHeight="1">
      <c r="A446" t="inlineStr">
        <is>
          <t>A 40283-2023</t>
        </is>
      </c>
      <c r="B446" s="1" t="n">
        <v>45169</v>
      </c>
      <c r="C446" s="1" t="n">
        <v>45511</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41119-2023</t>
        </is>
      </c>
      <c r="B447" s="1" t="n">
        <v>45173</v>
      </c>
      <c r="C447" s="1" t="n">
        <v>45511</v>
      </c>
      <c r="D447" t="inlineStr">
        <is>
          <t>DALARNAS LÄN</t>
        </is>
      </c>
      <c r="E447" t="inlineStr">
        <is>
          <t>ORSA</t>
        </is>
      </c>
      <c r="G447" t="n">
        <v>6</v>
      </c>
      <c r="H447" t="n">
        <v>0</v>
      </c>
      <c r="I447" t="n">
        <v>0</v>
      </c>
      <c r="J447" t="n">
        <v>0</v>
      </c>
      <c r="K447" t="n">
        <v>0</v>
      </c>
      <c r="L447" t="n">
        <v>0</v>
      </c>
      <c r="M447" t="n">
        <v>0</v>
      </c>
      <c r="N447" t="n">
        <v>0</v>
      </c>
      <c r="O447" t="n">
        <v>0</v>
      </c>
      <c r="P447" t="n">
        <v>0</v>
      </c>
      <c r="Q447" t="n">
        <v>0</v>
      </c>
      <c r="R447" s="2" t="inlineStr"/>
    </row>
    <row r="448" ht="15" customHeight="1">
      <c r="A448" t="inlineStr">
        <is>
          <t>A 41120-2023</t>
        </is>
      </c>
      <c r="B448" s="1" t="n">
        <v>45173</v>
      </c>
      <c r="C448" s="1" t="n">
        <v>45511</v>
      </c>
      <c r="D448" t="inlineStr">
        <is>
          <t>DALARNAS LÄN</t>
        </is>
      </c>
      <c r="E448" t="inlineStr">
        <is>
          <t>ORSA</t>
        </is>
      </c>
      <c r="G448" t="n">
        <v>13.2</v>
      </c>
      <c r="H448" t="n">
        <v>0</v>
      </c>
      <c r="I448" t="n">
        <v>0</v>
      </c>
      <c r="J448" t="n">
        <v>0</v>
      </c>
      <c r="K448" t="n">
        <v>0</v>
      </c>
      <c r="L448" t="n">
        <v>0</v>
      </c>
      <c r="M448" t="n">
        <v>0</v>
      </c>
      <c r="N448" t="n">
        <v>0</v>
      </c>
      <c r="O448" t="n">
        <v>0</v>
      </c>
      <c r="P448" t="n">
        <v>0</v>
      </c>
      <c r="Q448" t="n">
        <v>0</v>
      </c>
      <c r="R448" s="2" t="inlineStr"/>
    </row>
    <row r="449" ht="15" customHeight="1">
      <c r="A449" t="inlineStr">
        <is>
          <t>A 42043-2023</t>
        </is>
      </c>
      <c r="B449" s="1" t="n">
        <v>45177</v>
      </c>
      <c r="C449" s="1" t="n">
        <v>45511</v>
      </c>
      <c r="D449" t="inlineStr">
        <is>
          <t>DALARNAS LÄN</t>
        </is>
      </c>
      <c r="E449" t="inlineStr">
        <is>
          <t>ORSA</t>
        </is>
      </c>
      <c r="G449" t="n">
        <v>3.3</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v>
      </c>
      <c r="C450" s="1" t="n">
        <v>45511</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42236-2023</t>
        </is>
      </c>
      <c r="B451" s="1" t="n">
        <v>45180</v>
      </c>
      <c r="C451" s="1" t="n">
        <v>45511</v>
      </c>
      <c r="D451" t="inlineStr">
        <is>
          <t>DALARNAS LÄN</t>
        </is>
      </c>
      <c r="E451" t="inlineStr">
        <is>
          <t>ORSA</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42240-2023</t>
        </is>
      </c>
      <c r="B452" s="1" t="n">
        <v>45180</v>
      </c>
      <c r="C452" s="1" t="n">
        <v>45511</v>
      </c>
      <c r="D452" t="inlineStr">
        <is>
          <t>DALARNAS LÄN</t>
        </is>
      </c>
      <c r="E452" t="inlineStr">
        <is>
          <t>ORSA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44600-2023</t>
        </is>
      </c>
      <c r="B453" s="1" t="n">
        <v>45189</v>
      </c>
      <c r="C453" s="1" t="n">
        <v>45511</v>
      </c>
      <c r="D453" t="inlineStr">
        <is>
          <t>DALARNAS LÄN</t>
        </is>
      </c>
      <c r="E453" t="inlineStr">
        <is>
          <t>ORSA</t>
        </is>
      </c>
      <c r="G453" t="n">
        <v>3.9</v>
      </c>
      <c r="H453" t="n">
        <v>0</v>
      </c>
      <c r="I453" t="n">
        <v>0</v>
      </c>
      <c r="J453" t="n">
        <v>0</v>
      </c>
      <c r="K453" t="n">
        <v>0</v>
      </c>
      <c r="L453" t="n">
        <v>0</v>
      </c>
      <c r="M453" t="n">
        <v>0</v>
      </c>
      <c r="N453" t="n">
        <v>0</v>
      </c>
      <c r="O453" t="n">
        <v>0</v>
      </c>
      <c r="P453" t="n">
        <v>0</v>
      </c>
      <c r="Q453" t="n">
        <v>0</v>
      </c>
      <c r="R453" s="2" t="inlineStr"/>
    </row>
    <row r="454" ht="15" customHeight="1">
      <c r="A454" t="inlineStr">
        <is>
          <t>A 44592-2023</t>
        </is>
      </c>
      <c r="B454" s="1" t="n">
        <v>45189</v>
      </c>
      <c r="C454" s="1" t="n">
        <v>45511</v>
      </c>
      <c r="D454" t="inlineStr">
        <is>
          <t>DALARNAS LÄN</t>
        </is>
      </c>
      <c r="E454" t="inlineStr">
        <is>
          <t>ORSA</t>
        </is>
      </c>
      <c r="G454" t="n">
        <v>3.2</v>
      </c>
      <c r="H454" t="n">
        <v>0</v>
      </c>
      <c r="I454" t="n">
        <v>0</v>
      </c>
      <c r="J454" t="n">
        <v>0</v>
      </c>
      <c r="K454" t="n">
        <v>0</v>
      </c>
      <c r="L454" t="n">
        <v>0</v>
      </c>
      <c r="M454" t="n">
        <v>0</v>
      </c>
      <c r="N454" t="n">
        <v>0</v>
      </c>
      <c r="O454" t="n">
        <v>0</v>
      </c>
      <c r="P454" t="n">
        <v>0</v>
      </c>
      <c r="Q454" t="n">
        <v>0</v>
      </c>
      <c r="R454" s="2" t="inlineStr"/>
    </row>
    <row r="455" ht="15" customHeight="1">
      <c r="A455" t="inlineStr">
        <is>
          <t>A 45256-2023</t>
        </is>
      </c>
      <c r="B455" s="1" t="n">
        <v>45191</v>
      </c>
      <c r="C455" s="1" t="n">
        <v>45511</v>
      </c>
      <c r="D455" t="inlineStr">
        <is>
          <t>DALARNAS LÄN</t>
        </is>
      </c>
      <c r="E455" t="inlineStr">
        <is>
          <t>ORSA</t>
        </is>
      </c>
      <c r="F455" t="inlineStr">
        <is>
          <t>Bergvik skog öst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46494-2023</t>
        </is>
      </c>
      <c r="B456" s="1" t="n">
        <v>45197</v>
      </c>
      <c r="C456" s="1" t="n">
        <v>45511</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46726-2023</t>
        </is>
      </c>
      <c r="B457" s="1" t="n">
        <v>45198</v>
      </c>
      <c r="C457" s="1" t="n">
        <v>45511</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v>
      </c>
      <c r="C458" s="1" t="n">
        <v>45511</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47564-2023</t>
        </is>
      </c>
      <c r="B459" s="1" t="n">
        <v>45203</v>
      </c>
      <c r="C459" s="1" t="n">
        <v>45511</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47583-2023</t>
        </is>
      </c>
      <c r="B460" s="1" t="n">
        <v>45203</v>
      </c>
      <c r="C460" s="1" t="n">
        <v>45511</v>
      </c>
      <c r="D460" t="inlineStr">
        <is>
          <t>DALARNAS LÄN</t>
        </is>
      </c>
      <c r="E460" t="inlineStr">
        <is>
          <t>ORSA</t>
        </is>
      </c>
      <c r="G460" t="n">
        <v>5.6</v>
      </c>
      <c r="H460" t="n">
        <v>0</v>
      </c>
      <c r="I460" t="n">
        <v>0</v>
      </c>
      <c r="J460" t="n">
        <v>0</v>
      </c>
      <c r="K460" t="n">
        <v>0</v>
      </c>
      <c r="L460" t="n">
        <v>0</v>
      </c>
      <c r="M460" t="n">
        <v>0</v>
      </c>
      <c r="N460" t="n">
        <v>0</v>
      </c>
      <c r="O460" t="n">
        <v>0</v>
      </c>
      <c r="P460" t="n">
        <v>0</v>
      </c>
      <c r="Q460" t="n">
        <v>0</v>
      </c>
      <c r="R460" s="2" t="inlineStr"/>
    </row>
    <row r="461" ht="15" customHeight="1">
      <c r="A461" t="inlineStr">
        <is>
          <t>A 47586-2023</t>
        </is>
      </c>
      <c r="B461" s="1" t="n">
        <v>45203</v>
      </c>
      <c r="C461" s="1" t="n">
        <v>45511</v>
      </c>
      <c r="D461" t="inlineStr">
        <is>
          <t>DALARNAS LÄN</t>
        </is>
      </c>
      <c r="E461" t="inlineStr">
        <is>
          <t>ORSA</t>
        </is>
      </c>
      <c r="G461" t="n">
        <v>3.2</v>
      </c>
      <c r="H461" t="n">
        <v>0</v>
      </c>
      <c r="I461" t="n">
        <v>0</v>
      </c>
      <c r="J461" t="n">
        <v>0</v>
      </c>
      <c r="K461" t="n">
        <v>0</v>
      </c>
      <c r="L461" t="n">
        <v>0</v>
      </c>
      <c r="M461" t="n">
        <v>0</v>
      </c>
      <c r="N461" t="n">
        <v>0</v>
      </c>
      <c r="O461" t="n">
        <v>0</v>
      </c>
      <c r="P461" t="n">
        <v>0</v>
      </c>
      <c r="Q461" t="n">
        <v>0</v>
      </c>
      <c r="R461" s="2" t="inlineStr"/>
    </row>
    <row r="462" ht="15" customHeight="1">
      <c r="A462" t="inlineStr">
        <is>
          <t>A 48311-2023</t>
        </is>
      </c>
      <c r="B462" s="1" t="n">
        <v>45205</v>
      </c>
      <c r="C462" s="1" t="n">
        <v>45511</v>
      </c>
      <c r="D462" t="inlineStr">
        <is>
          <t>DALARNAS LÄN</t>
        </is>
      </c>
      <c r="E462" t="inlineStr">
        <is>
          <t>ORSA</t>
        </is>
      </c>
      <c r="F462" t="inlineStr">
        <is>
          <t>Allmännings- och besparingsskogar</t>
        </is>
      </c>
      <c r="G462" t="n">
        <v>7</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45511</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45511</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45511</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45511</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45511</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45511</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45511</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45511</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45511</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45511</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45511</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45511</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45511</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45511</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45511</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45511</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45511</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45511</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45511</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45511</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45511</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45511</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45511</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45511</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45511</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45511</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45511</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45511</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45511</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45511</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45511</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45511</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45511</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45511</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45511</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45511</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45511</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45511</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45511</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45511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45511</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45511</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45511</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45511</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45511</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45511</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45511</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45511</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45511</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45511</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45511</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45511</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45511</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45511</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45511</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45511</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45511</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45511</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45511</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45511</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45511</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45511</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45511</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45511</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45511</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45511</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45511</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45511</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45511</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45511</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45511</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45511</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45511</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45511</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45511</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45511</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45511</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45511</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45511</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45511</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45511</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45511</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45511</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45511</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45511</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45511</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45511</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45511</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45511</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45511</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45511</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45511</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45511</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45511</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45511</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45511</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45511</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45511</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45511</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45511</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45511</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45511</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45511</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45511</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45511</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45511</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45511</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45511</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45511</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45511</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45511</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45511</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45511</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45511</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45511</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45511</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45511</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45511</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45511</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45511</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45511</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45511</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45511</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45511</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45511</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45511</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45511</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45511</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45511</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45511</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45511</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45511</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45511</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45511</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45511</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45511</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45511</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45511</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45511</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45511</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45511</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45511</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28923-2024</t>
        </is>
      </c>
      <c r="B605" s="1" t="n">
        <v>45481</v>
      </c>
      <c r="C605" s="1" t="n">
        <v>45511</v>
      </c>
      <c r="D605" t="inlineStr">
        <is>
          <t>DALARNAS LÄN</t>
        </is>
      </c>
      <c r="E605" t="inlineStr">
        <is>
          <t>ORSA</t>
        </is>
      </c>
      <c r="F605" t="inlineStr">
        <is>
          <t>Allmännings- och besparingsskogar</t>
        </is>
      </c>
      <c r="G605" t="n">
        <v>13.9</v>
      </c>
      <c r="H605" t="n">
        <v>0</v>
      </c>
      <c r="I605" t="n">
        <v>0</v>
      </c>
      <c r="J605" t="n">
        <v>0</v>
      </c>
      <c r="K605" t="n">
        <v>0</v>
      </c>
      <c r="L605" t="n">
        <v>0</v>
      </c>
      <c r="M605" t="n">
        <v>0</v>
      </c>
      <c r="N605" t="n">
        <v>0</v>
      </c>
      <c r="O605" t="n">
        <v>0</v>
      </c>
      <c r="P605" t="n">
        <v>0</v>
      </c>
      <c r="Q605" t="n">
        <v>0</v>
      </c>
      <c r="R605" s="2" t="inlineStr"/>
    </row>
    <row r="606" ht="15" customHeight="1">
      <c r="A606" t="inlineStr">
        <is>
          <t>A 28971-2024</t>
        </is>
      </c>
      <c r="B606" s="1" t="n">
        <v>45481</v>
      </c>
      <c r="C606" s="1" t="n">
        <v>45511</v>
      </c>
      <c r="D606" t="inlineStr">
        <is>
          <t>DALARNAS LÄN</t>
        </is>
      </c>
      <c r="E606" t="inlineStr">
        <is>
          <t>ORSA</t>
        </is>
      </c>
      <c r="F606" t="inlineStr">
        <is>
          <t>Bergvik skog öst AB</t>
        </is>
      </c>
      <c r="G606" t="n">
        <v>7.7</v>
      </c>
      <c r="H606" t="n">
        <v>0</v>
      </c>
      <c r="I606" t="n">
        <v>0</v>
      </c>
      <c r="J606" t="n">
        <v>0</v>
      </c>
      <c r="K606" t="n">
        <v>0</v>
      </c>
      <c r="L606" t="n">
        <v>0</v>
      </c>
      <c r="M606" t="n">
        <v>0</v>
      </c>
      <c r="N606" t="n">
        <v>0</v>
      </c>
      <c r="O606" t="n">
        <v>0</v>
      </c>
      <c r="P606" t="n">
        <v>0</v>
      </c>
      <c r="Q606" t="n">
        <v>0</v>
      </c>
      <c r="R606" s="2" t="inlineStr"/>
    </row>
    <row r="607" ht="15" customHeight="1">
      <c r="A607" t="inlineStr">
        <is>
          <t>A 29038-2024</t>
        </is>
      </c>
      <c r="B607" s="1" t="n">
        <v>45481</v>
      </c>
      <c r="C607" s="1" t="n">
        <v>45511</v>
      </c>
      <c r="D607" t="inlineStr">
        <is>
          <t>DALARNAS LÄN</t>
        </is>
      </c>
      <c r="E607" t="inlineStr">
        <is>
          <t>ORSA</t>
        </is>
      </c>
      <c r="G607" t="n">
        <v>3</v>
      </c>
      <c r="H607" t="n">
        <v>0</v>
      </c>
      <c r="I607" t="n">
        <v>0</v>
      </c>
      <c r="J607" t="n">
        <v>0</v>
      </c>
      <c r="K607" t="n">
        <v>0</v>
      </c>
      <c r="L607" t="n">
        <v>0</v>
      </c>
      <c r="M607" t="n">
        <v>0</v>
      </c>
      <c r="N607" t="n">
        <v>0</v>
      </c>
      <c r="O607" t="n">
        <v>0</v>
      </c>
      <c r="P607" t="n">
        <v>0</v>
      </c>
      <c r="Q607" t="n">
        <v>0</v>
      </c>
      <c r="R607" s="2" t="inlineStr"/>
    </row>
    <row r="608" ht="15" customHeight="1">
      <c r="A608" t="inlineStr">
        <is>
          <t>A 28974-2024</t>
        </is>
      </c>
      <c r="B608" s="1" t="n">
        <v>45481</v>
      </c>
      <c r="C608" s="1" t="n">
        <v>45511</v>
      </c>
      <c r="D608" t="inlineStr">
        <is>
          <t>DALARNAS LÄN</t>
        </is>
      </c>
      <c r="E608" t="inlineStr">
        <is>
          <t>ORSA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28970-2024</t>
        </is>
      </c>
      <c r="B609" s="1" t="n">
        <v>45481</v>
      </c>
      <c r="C609" s="1" t="n">
        <v>45511</v>
      </c>
      <c r="D609" t="inlineStr">
        <is>
          <t>DALARNAS LÄN</t>
        </is>
      </c>
      <c r="E609" t="inlineStr">
        <is>
          <t>ORSA</t>
        </is>
      </c>
      <c r="F609" t="inlineStr">
        <is>
          <t>Bergvik skog öst AB</t>
        </is>
      </c>
      <c r="G609" t="n">
        <v>1.9</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45511</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45511</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30291-2024</t>
        </is>
      </c>
      <c r="B612" s="1" t="n">
        <v>45490</v>
      </c>
      <c r="C612" s="1" t="n">
        <v>45511</v>
      </c>
      <c r="D612" t="inlineStr">
        <is>
          <t>DALARNAS LÄN</t>
        </is>
      </c>
      <c r="E612" t="inlineStr">
        <is>
          <t>ORSA</t>
        </is>
      </c>
      <c r="F612" t="inlineStr">
        <is>
          <t>Bergvik skog öst AB</t>
        </is>
      </c>
      <c r="G612" t="n">
        <v>7.5</v>
      </c>
      <c r="H612" t="n">
        <v>0</v>
      </c>
      <c r="I612" t="n">
        <v>0</v>
      </c>
      <c r="J612" t="n">
        <v>0</v>
      </c>
      <c r="K612" t="n">
        <v>0</v>
      </c>
      <c r="L612" t="n">
        <v>0</v>
      </c>
      <c r="M612" t="n">
        <v>0</v>
      </c>
      <c r="N612" t="n">
        <v>0</v>
      </c>
      <c r="O612" t="n">
        <v>0</v>
      </c>
      <c r="P612" t="n">
        <v>0</v>
      </c>
      <c r="Q612" t="n">
        <v>0</v>
      </c>
      <c r="R612" s="2" t="inlineStr"/>
    </row>
    <row r="613" ht="15" customHeight="1">
      <c r="A613" t="inlineStr">
        <is>
          <t>A 30212-2024</t>
        </is>
      </c>
      <c r="B613" s="1" t="n">
        <v>45490</v>
      </c>
      <c r="C613" s="1" t="n">
        <v>45511</v>
      </c>
      <c r="D613" t="inlineStr">
        <is>
          <t>DALARNAS LÄN</t>
        </is>
      </c>
      <c r="E613" t="inlineStr">
        <is>
          <t>ORSA</t>
        </is>
      </c>
      <c r="G613" t="n">
        <v>2.6</v>
      </c>
      <c r="H613" t="n">
        <v>0</v>
      </c>
      <c r="I613" t="n">
        <v>0</v>
      </c>
      <c r="J613" t="n">
        <v>0</v>
      </c>
      <c r="K613" t="n">
        <v>0</v>
      </c>
      <c r="L613" t="n">
        <v>0</v>
      </c>
      <c r="M613" t="n">
        <v>0</v>
      </c>
      <c r="N613" t="n">
        <v>0</v>
      </c>
      <c r="O613" t="n">
        <v>0</v>
      </c>
      <c r="P613" t="n">
        <v>0</v>
      </c>
      <c r="Q613" t="n">
        <v>0</v>
      </c>
      <c r="R613" s="2" t="inlineStr"/>
    </row>
    <row r="614" ht="15" customHeight="1">
      <c r="A614" t="inlineStr">
        <is>
          <t>A 30189-2024</t>
        </is>
      </c>
      <c r="B614" s="1" t="n">
        <v>45490</v>
      </c>
      <c r="C614" s="1" t="n">
        <v>45511</v>
      </c>
      <c r="D614" t="inlineStr">
        <is>
          <t>DALARNAS LÄN</t>
        </is>
      </c>
      <c r="E614" t="inlineStr">
        <is>
          <t>ORSA</t>
        </is>
      </c>
      <c r="G614" t="n">
        <v>3.9</v>
      </c>
      <c r="H614" t="n">
        <v>0</v>
      </c>
      <c r="I614" t="n">
        <v>0</v>
      </c>
      <c r="J614" t="n">
        <v>0</v>
      </c>
      <c r="K614" t="n">
        <v>0</v>
      </c>
      <c r="L614" t="n">
        <v>0</v>
      </c>
      <c r="M614" t="n">
        <v>0</v>
      </c>
      <c r="N614" t="n">
        <v>0</v>
      </c>
      <c r="O614" t="n">
        <v>0</v>
      </c>
      <c r="P614" t="n">
        <v>0</v>
      </c>
      <c r="Q614" t="n">
        <v>0</v>
      </c>
      <c r="R614" s="2" t="inlineStr"/>
    </row>
    <row r="615" ht="15" customHeight="1">
      <c r="A615" t="inlineStr">
        <is>
          <t>A 30290-2024</t>
        </is>
      </c>
      <c r="B615" s="1" t="n">
        <v>45490</v>
      </c>
      <c r="C615" s="1" t="n">
        <v>45511</v>
      </c>
      <c r="D615" t="inlineStr">
        <is>
          <t>DALARNAS LÄN</t>
        </is>
      </c>
      <c r="E615" t="inlineStr">
        <is>
          <t>ORSA</t>
        </is>
      </c>
      <c r="F615" t="inlineStr">
        <is>
          <t>Bergvik skog öst AB</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30505-2024</t>
        </is>
      </c>
      <c r="B616" s="1" t="n">
        <v>45492</v>
      </c>
      <c r="C616" s="1" t="n">
        <v>45511</v>
      </c>
      <c r="D616" t="inlineStr">
        <is>
          <t>DALARNAS LÄN</t>
        </is>
      </c>
      <c r="E616" t="inlineStr">
        <is>
          <t>ORSA</t>
        </is>
      </c>
      <c r="F616" t="inlineStr">
        <is>
          <t>Allmännings- och besparingsskogar</t>
        </is>
      </c>
      <c r="G616" t="n">
        <v>5.1</v>
      </c>
      <c r="H616" t="n">
        <v>0</v>
      </c>
      <c r="I616" t="n">
        <v>0</v>
      </c>
      <c r="J616" t="n">
        <v>0</v>
      </c>
      <c r="K616" t="n">
        <v>0</v>
      </c>
      <c r="L616" t="n">
        <v>0</v>
      </c>
      <c r="M616" t="n">
        <v>0</v>
      </c>
      <c r="N616" t="n">
        <v>0</v>
      </c>
      <c r="O616" t="n">
        <v>0</v>
      </c>
      <c r="P616" t="n">
        <v>0</v>
      </c>
      <c r="Q616" t="n">
        <v>0</v>
      </c>
      <c r="R616" s="2" t="inlineStr"/>
    </row>
    <row r="617" ht="15" customHeight="1">
      <c r="A617" t="inlineStr">
        <is>
          <t>A 30493-2024</t>
        </is>
      </c>
      <c r="B617" s="1" t="n">
        <v>45492</v>
      </c>
      <c r="C617" s="1" t="n">
        <v>45511</v>
      </c>
      <c r="D617" t="inlineStr">
        <is>
          <t>DALARNAS LÄN</t>
        </is>
      </c>
      <c r="E617" t="inlineStr">
        <is>
          <t>ORSA</t>
        </is>
      </c>
      <c r="F617" t="inlineStr">
        <is>
          <t>Övriga statliga verk och myndigheter</t>
        </is>
      </c>
      <c r="G617" t="n">
        <v>2.2</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45511</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45511</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31262-2024</t>
        </is>
      </c>
      <c r="B620" s="1" t="n">
        <v>45504</v>
      </c>
      <c r="C620" s="1" t="n">
        <v>45511</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row r="621">
      <c r="A621" t="inlineStr">
        <is>
          <t>A 31688-2024</t>
        </is>
      </c>
      <c r="B621" s="1" t="n">
        <v>45507</v>
      </c>
      <c r="C621" s="1" t="n">
        <v>45511</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2024-08-07T10:44:01Z</dcterms:created>
  <dcterms:modified xmlns:dcterms="http://purl.org/dc/terms/" xmlns:xsi="http://www.w3.org/2001/XMLSchema-instance" xsi:type="dcterms:W3CDTF">2024-08-07T10:44:02Z</dcterms:modified>
</cp:coreProperties>
</file>