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46036</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46036</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46036</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46036</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46036</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46036</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46036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46036</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46036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46036</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46036</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46036</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46036</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46036</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46036</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46036</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46036</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46036</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46036</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46036</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46036</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46036</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46036</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50728-2022</t>
        </is>
      </c>
      <c r="B34" s="1" t="n">
        <v>44867</v>
      </c>
      <c r="C34" s="1" t="n">
        <v>46036</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46036</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46036</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46036</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46036</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33366-2023</t>
        </is>
      </c>
      <c r="B39" s="1" t="n">
        <v>45128</v>
      </c>
      <c r="C39" s="1" t="n">
        <v>46036</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3421-2021</t>
        </is>
      </c>
      <c r="B40" s="1" t="n">
        <v>44218</v>
      </c>
      <c r="C40" s="1" t="n">
        <v>46036</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35570-2024</t>
        </is>
      </c>
      <c r="B41" s="1" t="n">
        <v>45531</v>
      </c>
      <c r="C41" s="1" t="n">
        <v>46036</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29844-2025</t>
        </is>
      </c>
      <c r="B42" s="1" t="n">
        <v>45826</v>
      </c>
      <c r="C42" s="1" t="n">
        <v>46036</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46036</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46036</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46036</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46036</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31161-2025</t>
        </is>
      </c>
      <c r="B47" s="1" t="n">
        <v>45832</v>
      </c>
      <c r="C47" s="1" t="n">
        <v>46036</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6029-2024</t>
        </is>
      </c>
      <c r="B48" s="1" t="n">
        <v>45336</v>
      </c>
      <c r="C48" s="1" t="n">
        <v>46036</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46036</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63810-2021</t>
        </is>
      </c>
      <c r="B50" s="1" t="n">
        <v>44509</v>
      </c>
      <c r="C50" s="1" t="n">
        <v>46036</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31164-2025</t>
        </is>
      </c>
      <c r="B51" s="1" t="n">
        <v>45832</v>
      </c>
      <c r="C51" s="1" t="n">
        <v>46036</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41553-2025</t>
        </is>
      </c>
      <c r="B52" s="1" t="n">
        <v>45901.59108796297</v>
      </c>
      <c r="C52" s="1" t="n">
        <v>46036</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41799-2025</t>
        </is>
      </c>
      <c r="B53" s="1" t="n">
        <v>45902.6065162037</v>
      </c>
      <c r="C53" s="1" t="n">
        <v>46036</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42327-2025</t>
        </is>
      </c>
      <c r="B54" s="1" t="n">
        <v>45904.68600694444</v>
      </c>
      <c r="C54" s="1" t="n">
        <v>46036</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46036</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46036</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30493-2024</t>
        </is>
      </c>
      <c r="B57" s="1" t="n">
        <v>45492.34811342593</v>
      </c>
      <c r="C57" s="1" t="n">
        <v>46036</v>
      </c>
      <c r="D57" t="inlineStr">
        <is>
          <t>DALARNAS LÄN</t>
        </is>
      </c>
      <c r="E57" t="inlineStr">
        <is>
          <t>ORSA</t>
        </is>
      </c>
      <c r="F57" t="inlineStr">
        <is>
          <t>Övriga statliga verk och myndigheter</t>
        </is>
      </c>
      <c r="G57" t="n">
        <v>2.2</v>
      </c>
      <c r="H57" t="n">
        <v>0</v>
      </c>
      <c r="I57" t="n">
        <v>0</v>
      </c>
      <c r="J57" t="n">
        <v>1</v>
      </c>
      <c r="K57" t="n">
        <v>0</v>
      </c>
      <c r="L57" t="n">
        <v>0</v>
      </c>
      <c r="M57" t="n">
        <v>0</v>
      </c>
      <c r="N57" t="n">
        <v>0</v>
      </c>
      <c r="O57" t="n">
        <v>1</v>
      </c>
      <c r="P57" t="n">
        <v>0</v>
      </c>
      <c r="Q57" t="n">
        <v>1</v>
      </c>
      <c r="R57" s="2" t="inlineStr">
        <is>
          <t>Garnlav</t>
        </is>
      </c>
      <c r="S57">
        <f>HYPERLINK("https://klasma.github.io/Logging_2034/artfynd/A 30493-2024 artfynd.xlsx", "A 30493-2024")</f>
        <v/>
      </c>
      <c r="T57">
        <f>HYPERLINK("https://klasma.github.io/Logging_2034/kartor/A 30493-2024 karta.png", "A 30493-2024")</f>
        <v/>
      </c>
      <c r="V57">
        <f>HYPERLINK("https://klasma.github.io/Logging_2034/klagomål/A 30493-2024 FSC-klagomål.docx", "A 30493-2024")</f>
        <v/>
      </c>
      <c r="W57">
        <f>HYPERLINK("https://klasma.github.io/Logging_2034/klagomålsmail/A 30493-2024 FSC-klagomål mail.docx", "A 30493-2024")</f>
        <v/>
      </c>
      <c r="X57">
        <f>HYPERLINK("https://klasma.github.io/Logging_2034/tillsyn/A 30493-2024 tillsynsbegäran.docx", "A 30493-2024")</f>
        <v/>
      </c>
      <c r="Y57">
        <f>HYPERLINK("https://klasma.github.io/Logging_2034/tillsynsmail/A 30493-2024 tillsynsbegäran mail.docx", "A 30493-2024")</f>
        <v/>
      </c>
    </row>
    <row r="58" ht="15" customHeight="1">
      <c r="A58" t="inlineStr">
        <is>
          <t>A 62009-2025</t>
        </is>
      </c>
      <c r="B58" s="1" t="n">
        <v>46003.67215277778</v>
      </c>
      <c r="C58" s="1" t="n">
        <v>46036</v>
      </c>
      <c r="D58" t="inlineStr">
        <is>
          <t>DALARNAS LÄN</t>
        </is>
      </c>
      <c r="E58" t="inlineStr">
        <is>
          <t>ORSA</t>
        </is>
      </c>
      <c r="G58" t="n">
        <v>7.6</v>
      </c>
      <c r="H58" t="n">
        <v>0</v>
      </c>
      <c r="I58" t="n">
        <v>0</v>
      </c>
      <c r="J58" t="n">
        <v>1</v>
      </c>
      <c r="K58" t="n">
        <v>0</v>
      </c>
      <c r="L58" t="n">
        <v>0</v>
      </c>
      <c r="M58" t="n">
        <v>0</v>
      </c>
      <c r="N58" t="n">
        <v>0</v>
      </c>
      <c r="O58" t="n">
        <v>1</v>
      </c>
      <c r="P58" t="n">
        <v>0</v>
      </c>
      <c r="Q58" t="n">
        <v>1</v>
      </c>
      <c r="R58" s="2" t="inlineStr">
        <is>
          <t>Garnlav</t>
        </is>
      </c>
      <c r="S58">
        <f>HYPERLINK("https://klasma.github.io/Logging_2034/artfynd/A 62009-2025 artfynd.xlsx", "A 62009-2025")</f>
        <v/>
      </c>
      <c r="T58">
        <f>HYPERLINK("https://klasma.github.io/Logging_2034/kartor/A 62009-2025 karta.png", "A 62009-2025")</f>
        <v/>
      </c>
      <c r="V58">
        <f>HYPERLINK("https://klasma.github.io/Logging_2034/klagomål/A 62009-2025 FSC-klagomål.docx", "A 62009-2025")</f>
        <v/>
      </c>
      <c r="W58">
        <f>HYPERLINK("https://klasma.github.io/Logging_2034/klagomålsmail/A 62009-2025 FSC-klagomål mail.docx", "A 62009-2025")</f>
        <v/>
      </c>
      <c r="X58">
        <f>HYPERLINK("https://klasma.github.io/Logging_2034/tillsyn/A 62009-2025 tillsynsbegäran.docx", "A 62009-2025")</f>
        <v/>
      </c>
      <c r="Y58">
        <f>HYPERLINK("https://klasma.github.io/Logging_2034/tillsynsmail/A 62009-2025 tillsynsbegäran mail.docx", "A 62009-2025")</f>
        <v/>
      </c>
    </row>
    <row r="59" ht="15" customHeight="1">
      <c r="A59" t="inlineStr">
        <is>
          <t>A 53707-2025</t>
        </is>
      </c>
      <c r="B59" s="1" t="n">
        <v>45960.60822916667</v>
      </c>
      <c r="C59" s="1" t="n">
        <v>46036</v>
      </c>
      <c r="D59" t="inlineStr">
        <is>
          <t>DALARNAS LÄN</t>
        </is>
      </c>
      <c r="E59" t="inlineStr">
        <is>
          <t>ORSA</t>
        </is>
      </c>
      <c r="G59" t="n">
        <v>2.1</v>
      </c>
      <c r="H59" t="n">
        <v>0</v>
      </c>
      <c r="I59" t="n">
        <v>1</v>
      </c>
      <c r="J59" t="n">
        <v>0</v>
      </c>
      <c r="K59" t="n">
        <v>0</v>
      </c>
      <c r="L59" t="n">
        <v>0</v>
      </c>
      <c r="M59" t="n">
        <v>0</v>
      </c>
      <c r="N59" t="n">
        <v>0</v>
      </c>
      <c r="O59" t="n">
        <v>0</v>
      </c>
      <c r="P59" t="n">
        <v>0</v>
      </c>
      <c r="Q59" t="n">
        <v>1</v>
      </c>
      <c r="R59" s="2" t="inlineStr">
        <is>
          <t>Björksplintborre</t>
        </is>
      </c>
      <c r="S59">
        <f>HYPERLINK("https://klasma.github.io/Logging_2034/artfynd/A 53707-2025 artfynd.xlsx", "A 53707-2025")</f>
        <v/>
      </c>
      <c r="T59">
        <f>HYPERLINK("https://klasma.github.io/Logging_2034/kartor/A 53707-2025 karta.png", "A 53707-2025")</f>
        <v/>
      </c>
      <c r="V59">
        <f>HYPERLINK("https://klasma.github.io/Logging_2034/klagomål/A 53707-2025 FSC-klagomål.docx", "A 53707-2025")</f>
        <v/>
      </c>
      <c r="W59">
        <f>HYPERLINK("https://klasma.github.io/Logging_2034/klagomålsmail/A 53707-2025 FSC-klagomål mail.docx", "A 53707-2025")</f>
        <v/>
      </c>
      <c r="X59">
        <f>HYPERLINK("https://klasma.github.io/Logging_2034/tillsyn/A 53707-2025 tillsynsbegäran.docx", "A 53707-2025")</f>
        <v/>
      </c>
      <c r="Y59">
        <f>HYPERLINK("https://klasma.github.io/Logging_2034/tillsynsmail/A 53707-2025 tillsynsbegäran mail.docx", "A 53707-2025")</f>
        <v/>
      </c>
    </row>
    <row r="60" ht="15" customHeight="1">
      <c r="A60" t="inlineStr">
        <is>
          <t>A 54687-2025</t>
        </is>
      </c>
      <c r="B60" s="1" t="n">
        <v>45966.45024305556</v>
      </c>
      <c r="C60" s="1" t="n">
        <v>46036</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62837-2025</t>
        </is>
      </c>
      <c r="B61" s="1" t="n">
        <v>46008.68391203704</v>
      </c>
      <c r="C61" s="1" t="n">
        <v>46036</v>
      </c>
      <c r="D61" t="inlineStr">
        <is>
          <t>DALARNAS LÄN</t>
        </is>
      </c>
      <c r="E61" t="inlineStr">
        <is>
          <t>ORSA</t>
        </is>
      </c>
      <c r="G61" t="n">
        <v>6.8</v>
      </c>
      <c r="H61" t="n">
        <v>1</v>
      </c>
      <c r="I61" t="n">
        <v>0</v>
      </c>
      <c r="J61" t="n">
        <v>1</v>
      </c>
      <c r="K61" t="n">
        <v>0</v>
      </c>
      <c r="L61" t="n">
        <v>0</v>
      </c>
      <c r="M61" t="n">
        <v>0</v>
      </c>
      <c r="N61" t="n">
        <v>0</v>
      </c>
      <c r="O61" t="n">
        <v>1</v>
      </c>
      <c r="P61" t="n">
        <v>0</v>
      </c>
      <c r="Q61" t="n">
        <v>1</v>
      </c>
      <c r="R61" s="2" t="inlineStr">
        <is>
          <t>Järpe</t>
        </is>
      </c>
      <c r="S61">
        <f>HYPERLINK("https://klasma.github.io/Logging_2034/artfynd/A 62837-2025 artfynd.xlsx", "A 62837-2025")</f>
        <v/>
      </c>
      <c r="T61">
        <f>HYPERLINK("https://klasma.github.io/Logging_2034/kartor/A 62837-2025 karta.png", "A 62837-2025")</f>
        <v/>
      </c>
      <c r="V61">
        <f>HYPERLINK("https://klasma.github.io/Logging_2034/klagomål/A 62837-2025 FSC-klagomål.docx", "A 62837-2025")</f>
        <v/>
      </c>
      <c r="W61">
        <f>HYPERLINK("https://klasma.github.io/Logging_2034/klagomålsmail/A 62837-2025 FSC-klagomål mail.docx", "A 62837-2025")</f>
        <v/>
      </c>
      <c r="X61">
        <f>HYPERLINK("https://klasma.github.io/Logging_2034/tillsyn/A 62837-2025 tillsynsbegäran.docx", "A 62837-2025")</f>
        <v/>
      </c>
      <c r="Y61">
        <f>HYPERLINK("https://klasma.github.io/Logging_2034/tillsynsmail/A 62837-2025 tillsynsbegäran mail.docx", "A 62837-2025")</f>
        <v/>
      </c>
      <c r="Z61">
        <f>HYPERLINK("https://klasma.github.io/Logging_2034/fåglar/A 62837-2025 prioriterade fågelarter.docx", "A 62837-2025")</f>
        <v/>
      </c>
    </row>
    <row r="62" ht="15" customHeight="1">
      <c r="A62" t="inlineStr">
        <is>
          <t>A 37887-2023</t>
        </is>
      </c>
      <c r="B62" s="1" t="n">
        <v>45160</v>
      </c>
      <c r="C62" s="1" t="n">
        <v>46036</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15914-2021</t>
        </is>
      </c>
      <c r="B63" s="1" t="n">
        <v>44287</v>
      </c>
      <c r="C63" s="1" t="n">
        <v>46036</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46036</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46036</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46036</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46036</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46036</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46036</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46036</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46036</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46036</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46036</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46036</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46036</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46036</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46036</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46036</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46036</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46036</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46036</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46036</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46036</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46036</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46036</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46036</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46036</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46036</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46036</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46036</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46036</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46036</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46036</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46036</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46036</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46036</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46036</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46036</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46036</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46036</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46036</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46036</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46036</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46036</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46036</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46036</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46036</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46036</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46036</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46036</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46036</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44481.41222222222</v>
      </c>
      <c r="C113" s="1" t="n">
        <v>46036</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46036</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46036</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44545.36940972223</v>
      </c>
      <c r="C116" s="1" t="n">
        <v>46036</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55691-2022</t>
        </is>
      </c>
      <c r="B117" s="1" t="n">
        <v>44888</v>
      </c>
      <c r="C117" s="1" t="n">
        <v>46036</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29499-2024</t>
        </is>
      </c>
      <c r="B118" s="1" t="n">
        <v>45484</v>
      </c>
      <c r="C118" s="1" t="n">
        <v>46036</v>
      </c>
      <c r="D118" t="inlineStr">
        <is>
          <t>DALARNAS LÄN</t>
        </is>
      </c>
      <c r="E118" t="inlineStr">
        <is>
          <t>ORSA</t>
        </is>
      </c>
      <c r="G118" t="n">
        <v>1.7</v>
      </c>
      <c r="H118" t="n">
        <v>0</v>
      </c>
      <c r="I118" t="n">
        <v>0</v>
      </c>
      <c r="J118" t="n">
        <v>0</v>
      </c>
      <c r="K118" t="n">
        <v>0</v>
      </c>
      <c r="L118" t="n">
        <v>0</v>
      </c>
      <c r="M118" t="n">
        <v>0</v>
      </c>
      <c r="N118" t="n">
        <v>0</v>
      </c>
      <c r="O118" t="n">
        <v>0</v>
      </c>
      <c r="P118" t="n">
        <v>0</v>
      </c>
      <c r="Q118" t="n">
        <v>0</v>
      </c>
      <c r="R118" s="2" t="inlineStr"/>
    </row>
    <row r="119" ht="15" customHeight="1">
      <c r="A119" t="inlineStr">
        <is>
          <t>A 53229-2023</t>
        </is>
      </c>
      <c r="B119" s="1" t="n">
        <v>45229.48306712963</v>
      </c>
      <c r="C119" s="1" t="n">
        <v>46036</v>
      </c>
      <c r="D119" t="inlineStr">
        <is>
          <t>DALARNAS LÄN</t>
        </is>
      </c>
      <c r="E119" t="inlineStr">
        <is>
          <t>ORSA</t>
        </is>
      </c>
      <c r="F119" t="inlineStr">
        <is>
          <t>Allmännings- och besparingsskogar</t>
        </is>
      </c>
      <c r="G119" t="n">
        <v>0.5</v>
      </c>
      <c r="H119" t="n">
        <v>0</v>
      </c>
      <c r="I119" t="n">
        <v>0</v>
      </c>
      <c r="J119" t="n">
        <v>0</v>
      </c>
      <c r="K119" t="n">
        <v>0</v>
      </c>
      <c r="L119" t="n">
        <v>0</v>
      </c>
      <c r="M119" t="n">
        <v>0</v>
      </c>
      <c r="N119" t="n">
        <v>0</v>
      </c>
      <c r="O119" t="n">
        <v>0</v>
      </c>
      <c r="P119" t="n">
        <v>0</v>
      </c>
      <c r="Q119" t="n">
        <v>0</v>
      </c>
      <c r="R119" s="2" t="inlineStr"/>
    </row>
    <row r="120" ht="15" customHeight="1">
      <c r="A120" t="inlineStr">
        <is>
          <t>A 593-2024</t>
        </is>
      </c>
      <c r="B120" s="1" t="n">
        <v>45299.63049768518</v>
      </c>
      <c r="C120" s="1" t="n">
        <v>46036</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49270-2024</t>
        </is>
      </c>
      <c r="B121" s="1" t="n">
        <v>45595.49896990741</v>
      </c>
      <c r="C121" s="1" t="n">
        <v>46036</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2717-2024</t>
        </is>
      </c>
      <c r="B122" s="1" t="n">
        <v>45314.49222222222</v>
      </c>
      <c r="C122" s="1" t="n">
        <v>46036</v>
      </c>
      <c r="D122" t="inlineStr">
        <is>
          <t>DALARNAS LÄN</t>
        </is>
      </c>
      <c r="E122" t="inlineStr">
        <is>
          <t>ORSA</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46454-2024</t>
        </is>
      </c>
      <c r="B123" s="1" t="n">
        <v>45582</v>
      </c>
      <c r="C123" s="1" t="n">
        <v>46036</v>
      </c>
      <c r="D123" t="inlineStr">
        <is>
          <t>DALARNAS LÄN</t>
        </is>
      </c>
      <c r="E123" t="inlineStr">
        <is>
          <t>ORSA</t>
        </is>
      </c>
      <c r="F123" t="inlineStr">
        <is>
          <t>Övriga statliga verk och myndigheter</t>
        </is>
      </c>
      <c r="G123" t="n">
        <v>1</v>
      </c>
      <c r="H123" t="n">
        <v>0</v>
      </c>
      <c r="I123" t="n">
        <v>0</v>
      </c>
      <c r="J123" t="n">
        <v>0</v>
      </c>
      <c r="K123" t="n">
        <v>0</v>
      </c>
      <c r="L123" t="n">
        <v>0</v>
      </c>
      <c r="M123" t="n">
        <v>0</v>
      </c>
      <c r="N123" t="n">
        <v>0</v>
      </c>
      <c r="O123" t="n">
        <v>0</v>
      </c>
      <c r="P123" t="n">
        <v>0</v>
      </c>
      <c r="Q123" t="n">
        <v>0</v>
      </c>
      <c r="R123" s="2" t="inlineStr"/>
    </row>
    <row r="124" ht="15" customHeight="1">
      <c r="A124" t="inlineStr">
        <is>
          <t>A 1624-2024</t>
        </is>
      </c>
      <c r="B124" s="1" t="n">
        <v>45306</v>
      </c>
      <c r="C124" s="1" t="n">
        <v>46036</v>
      </c>
      <c r="D124" t="inlineStr">
        <is>
          <t>DALARNAS LÄN</t>
        </is>
      </c>
      <c r="E124" t="inlineStr">
        <is>
          <t>ORSA</t>
        </is>
      </c>
      <c r="G124" t="n">
        <v>1.9</v>
      </c>
      <c r="H124" t="n">
        <v>0</v>
      </c>
      <c r="I124" t="n">
        <v>0</v>
      </c>
      <c r="J124" t="n">
        <v>0</v>
      </c>
      <c r="K124" t="n">
        <v>0</v>
      </c>
      <c r="L124" t="n">
        <v>0</v>
      </c>
      <c r="M124" t="n">
        <v>0</v>
      </c>
      <c r="N124" t="n">
        <v>0</v>
      </c>
      <c r="O124" t="n">
        <v>0</v>
      </c>
      <c r="P124" t="n">
        <v>0</v>
      </c>
      <c r="Q124" t="n">
        <v>0</v>
      </c>
      <c r="R124" s="2" t="inlineStr"/>
    </row>
    <row r="125" ht="15" customHeight="1">
      <c r="A125" t="inlineStr">
        <is>
          <t>A 47134-2024</t>
        </is>
      </c>
      <c r="B125" s="1" t="n">
        <v>45586.58081018519</v>
      </c>
      <c r="C125" s="1" t="n">
        <v>46036</v>
      </c>
      <c r="D125" t="inlineStr">
        <is>
          <t>DALARNAS LÄN</t>
        </is>
      </c>
      <c r="E125" t="inlineStr">
        <is>
          <t>ORSA</t>
        </is>
      </c>
      <c r="G125" t="n">
        <v>0.3</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45757.54954861111</v>
      </c>
      <c r="C126" s="1" t="n">
        <v>46036</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13575-2025</t>
        </is>
      </c>
      <c r="B127" s="1" t="n">
        <v>45736.57871527778</v>
      </c>
      <c r="C127" s="1" t="n">
        <v>46036</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15870-2025</t>
        </is>
      </c>
      <c r="B128" s="1" t="n">
        <v>45749.37135416667</v>
      </c>
      <c r="C128" s="1" t="n">
        <v>46036</v>
      </c>
      <c r="D128" t="inlineStr">
        <is>
          <t>DALARNAS LÄN</t>
        </is>
      </c>
      <c r="E128" t="inlineStr">
        <is>
          <t>ORSA</t>
        </is>
      </c>
      <c r="F128" t="inlineStr">
        <is>
          <t>Bergvik skog öst AB</t>
        </is>
      </c>
      <c r="G128" t="n">
        <v>2.7</v>
      </c>
      <c r="H128" t="n">
        <v>0</v>
      </c>
      <c r="I128" t="n">
        <v>0</v>
      </c>
      <c r="J128" t="n">
        <v>0</v>
      </c>
      <c r="K128" t="n">
        <v>0</v>
      </c>
      <c r="L128" t="n">
        <v>0</v>
      </c>
      <c r="M128" t="n">
        <v>0</v>
      </c>
      <c r="N128" t="n">
        <v>0</v>
      </c>
      <c r="O128" t="n">
        <v>0</v>
      </c>
      <c r="P128" t="n">
        <v>0</v>
      </c>
      <c r="Q128" t="n">
        <v>0</v>
      </c>
      <c r="R128" s="2" t="inlineStr"/>
    </row>
    <row r="129" ht="15" customHeight="1">
      <c r="A129" t="inlineStr">
        <is>
          <t>A 48990-2023</t>
        </is>
      </c>
      <c r="B129" s="1" t="n">
        <v>45209.64740740741</v>
      </c>
      <c r="C129" s="1" t="n">
        <v>46036</v>
      </c>
      <c r="D129" t="inlineStr">
        <is>
          <t>DALARNAS LÄN</t>
        </is>
      </c>
      <c r="E129" t="inlineStr">
        <is>
          <t>ORSA</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46036</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30291-2024</t>
        </is>
      </c>
      <c r="B131" s="1" t="n">
        <v>45490.64978009259</v>
      </c>
      <c r="C131" s="1" t="n">
        <v>46036</v>
      </c>
      <c r="D131" t="inlineStr">
        <is>
          <t>DALARNAS LÄN</t>
        </is>
      </c>
      <c r="E131" t="inlineStr">
        <is>
          <t>ORSA</t>
        </is>
      </c>
      <c r="F131" t="inlineStr">
        <is>
          <t>Bergvik skog öst AB</t>
        </is>
      </c>
      <c r="G131" t="n">
        <v>7.5</v>
      </c>
      <c r="H131" t="n">
        <v>0</v>
      </c>
      <c r="I131" t="n">
        <v>0</v>
      </c>
      <c r="J131" t="n">
        <v>0</v>
      </c>
      <c r="K131" t="n">
        <v>0</v>
      </c>
      <c r="L131" t="n">
        <v>0</v>
      </c>
      <c r="M131" t="n">
        <v>0</v>
      </c>
      <c r="N131" t="n">
        <v>0</v>
      </c>
      <c r="O131" t="n">
        <v>0</v>
      </c>
      <c r="P131" t="n">
        <v>0</v>
      </c>
      <c r="Q131" t="n">
        <v>0</v>
      </c>
      <c r="R131" s="2" t="inlineStr"/>
    </row>
    <row r="132" ht="15" customHeight="1">
      <c r="A132" t="inlineStr">
        <is>
          <t>A 8430-2024</t>
        </is>
      </c>
      <c r="B132" s="1" t="n">
        <v>45353.41157407407</v>
      </c>
      <c r="C132" s="1" t="n">
        <v>46036</v>
      </c>
      <c r="D132" t="inlineStr">
        <is>
          <t>DALARNAS LÄN</t>
        </is>
      </c>
      <c r="E132" t="inlineStr">
        <is>
          <t>ORSA</t>
        </is>
      </c>
      <c r="G132" t="n">
        <v>14.4</v>
      </c>
      <c r="H132" t="n">
        <v>0</v>
      </c>
      <c r="I132" t="n">
        <v>0</v>
      </c>
      <c r="J132" t="n">
        <v>0</v>
      </c>
      <c r="K132" t="n">
        <v>0</v>
      </c>
      <c r="L132" t="n">
        <v>0</v>
      </c>
      <c r="M132" t="n">
        <v>0</v>
      </c>
      <c r="N132" t="n">
        <v>0</v>
      </c>
      <c r="O132" t="n">
        <v>0</v>
      </c>
      <c r="P132" t="n">
        <v>0</v>
      </c>
      <c r="Q132" t="n">
        <v>0</v>
      </c>
      <c r="R132" s="2" t="inlineStr"/>
    </row>
    <row r="133" ht="15" customHeight="1">
      <c r="A133" t="inlineStr">
        <is>
          <t>A 58853-2022</t>
        </is>
      </c>
      <c r="B133" s="1" t="n">
        <v>44903</v>
      </c>
      <c r="C133" s="1" t="n">
        <v>46036</v>
      </c>
      <c r="D133" t="inlineStr">
        <is>
          <t>DALARNAS LÄN</t>
        </is>
      </c>
      <c r="E133" t="inlineStr">
        <is>
          <t>ORSA</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10359-2023</t>
        </is>
      </c>
      <c r="B134" s="1" t="n">
        <v>44987.37292824074</v>
      </c>
      <c r="C134" s="1" t="n">
        <v>46036</v>
      </c>
      <c r="D134" t="inlineStr">
        <is>
          <t>DALARNAS LÄN</t>
        </is>
      </c>
      <c r="E134" t="inlineStr">
        <is>
          <t>ORSA</t>
        </is>
      </c>
      <c r="G134" t="n">
        <v>2.5</v>
      </c>
      <c r="H134" t="n">
        <v>0</v>
      </c>
      <c r="I134" t="n">
        <v>0</v>
      </c>
      <c r="J134" t="n">
        <v>0</v>
      </c>
      <c r="K134" t="n">
        <v>0</v>
      </c>
      <c r="L134" t="n">
        <v>0</v>
      </c>
      <c r="M134" t="n">
        <v>0</v>
      </c>
      <c r="N134" t="n">
        <v>0</v>
      </c>
      <c r="O134" t="n">
        <v>0</v>
      </c>
      <c r="P134" t="n">
        <v>0</v>
      </c>
      <c r="Q134" t="n">
        <v>0</v>
      </c>
      <c r="R134" s="2" t="inlineStr"/>
    </row>
    <row r="135" ht="15" customHeight="1">
      <c r="A135" t="inlineStr">
        <is>
          <t>A 57533-2022</t>
        </is>
      </c>
      <c r="B135" s="1" t="n">
        <v>44896.68393518519</v>
      </c>
      <c r="C135" s="1" t="n">
        <v>46036</v>
      </c>
      <c r="D135" t="inlineStr">
        <is>
          <t>DALARNAS LÄN</t>
        </is>
      </c>
      <c r="E135" t="inlineStr">
        <is>
          <t>ORSA</t>
        </is>
      </c>
      <c r="F135" t="inlineStr">
        <is>
          <t>Bergvik skog öst AB</t>
        </is>
      </c>
      <c r="G135" t="n">
        <v>2.2</v>
      </c>
      <c r="H135" t="n">
        <v>0</v>
      </c>
      <c r="I135" t="n">
        <v>0</v>
      </c>
      <c r="J135" t="n">
        <v>0</v>
      </c>
      <c r="K135" t="n">
        <v>0</v>
      </c>
      <c r="L135" t="n">
        <v>0</v>
      </c>
      <c r="M135" t="n">
        <v>0</v>
      </c>
      <c r="N135" t="n">
        <v>0</v>
      </c>
      <c r="O135" t="n">
        <v>0</v>
      </c>
      <c r="P135" t="n">
        <v>0</v>
      </c>
      <c r="Q135" t="n">
        <v>0</v>
      </c>
      <c r="R135" s="2" t="inlineStr"/>
    </row>
    <row r="136" ht="15" customHeight="1">
      <c r="A136" t="inlineStr">
        <is>
          <t>A 3951-2023</t>
        </is>
      </c>
      <c r="B136" s="1" t="n">
        <v>44952.38577546296</v>
      </c>
      <c r="C136" s="1" t="n">
        <v>46036</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47778-2021</t>
        </is>
      </c>
      <c r="B137" s="1" t="n">
        <v>44448</v>
      </c>
      <c r="C137" s="1" t="n">
        <v>46036</v>
      </c>
      <c r="D137" t="inlineStr">
        <is>
          <t>DALARNAS LÄN</t>
        </is>
      </c>
      <c r="E137" t="inlineStr">
        <is>
          <t>ORSA</t>
        </is>
      </c>
      <c r="F137" t="inlineStr">
        <is>
          <t>Bergvik skog öst AB</t>
        </is>
      </c>
      <c r="G137" t="n">
        <v>0.8</v>
      </c>
      <c r="H137" t="n">
        <v>0</v>
      </c>
      <c r="I137" t="n">
        <v>0</v>
      </c>
      <c r="J137" t="n">
        <v>0</v>
      </c>
      <c r="K137" t="n">
        <v>0</v>
      </c>
      <c r="L137" t="n">
        <v>0</v>
      </c>
      <c r="M137" t="n">
        <v>0</v>
      </c>
      <c r="N137" t="n">
        <v>0</v>
      </c>
      <c r="O137" t="n">
        <v>0</v>
      </c>
      <c r="P137" t="n">
        <v>0</v>
      </c>
      <c r="Q137" t="n">
        <v>0</v>
      </c>
      <c r="R137" s="2" t="inlineStr"/>
    </row>
    <row r="138" ht="15" customHeight="1">
      <c r="A138" t="inlineStr">
        <is>
          <t>A 15772-2025</t>
        </is>
      </c>
      <c r="B138" s="1" t="n">
        <v>45748.59069444444</v>
      </c>
      <c r="C138" s="1" t="n">
        <v>46036</v>
      </c>
      <c r="D138" t="inlineStr">
        <is>
          <t>DALARNAS LÄN</t>
        </is>
      </c>
      <c r="E138" t="inlineStr">
        <is>
          <t>ORSA</t>
        </is>
      </c>
      <c r="F138" t="inlineStr">
        <is>
          <t>Bergvik skog öst AB</t>
        </is>
      </c>
      <c r="G138" t="n">
        <v>3.8</v>
      </c>
      <c r="H138" t="n">
        <v>0</v>
      </c>
      <c r="I138" t="n">
        <v>0</v>
      </c>
      <c r="J138" t="n">
        <v>0</v>
      </c>
      <c r="K138" t="n">
        <v>0</v>
      </c>
      <c r="L138" t="n">
        <v>0</v>
      </c>
      <c r="M138" t="n">
        <v>0</v>
      </c>
      <c r="N138" t="n">
        <v>0</v>
      </c>
      <c r="O138" t="n">
        <v>0</v>
      </c>
      <c r="P138" t="n">
        <v>0</v>
      </c>
      <c r="Q138" t="n">
        <v>0</v>
      </c>
      <c r="R138" s="2" t="inlineStr"/>
    </row>
    <row r="139" ht="15" customHeight="1">
      <c r="A139" t="inlineStr">
        <is>
          <t>A 51305-2023</t>
        </is>
      </c>
      <c r="B139" s="1" t="n">
        <v>45219</v>
      </c>
      <c r="C139" s="1" t="n">
        <v>46036</v>
      </c>
      <c r="D139" t="inlineStr">
        <is>
          <t>DALARNAS LÄN</t>
        </is>
      </c>
      <c r="E139" t="inlineStr">
        <is>
          <t>ORSA</t>
        </is>
      </c>
      <c r="G139" t="n">
        <v>1.3</v>
      </c>
      <c r="H139" t="n">
        <v>0</v>
      </c>
      <c r="I139" t="n">
        <v>0</v>
      </c>
      <c r="J139" t="n">
        <v>0</v>
      </c>
      <c r="K139" t="n">
        <v>0</v>
      </c>
      <c r="L139" t="n">
        <v>0</v>
      </c>
      <c r="M139" t="n">
        <v>0</v>
      </c>
      <c r="N139" t="n">
        <v>0</v>
      </c>
      <c r="O139" t="n">
        <v>0</v>
      </c>
      <c r="P139" t="n">
        <v>0</v>
      </c>
      <c r="Q139" t="n">
        <v>0</v>
      </c>
      <c r="R139" s="2" t="inlineStr"/>
    </row>
    <row r="140" ht="15" customHeight="1">
      <c r="A140" t="inlineStr">
        <is>
          <t>A 17850-2025</t>
        </is>
      </c>
      <c r="B140" s="1" t="n">
        <v>45758.60162037037</v>
      </c>
      <c r="C140" s="1" t="n">
        <v>46036</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32125-2024</t>
        </is>
      </c>
      <c r="B141" s="1" t="n">
        <v>45511</v>
      </c>
      <c r="C141" s="1" t="n">
        <v>46036</v>
      </c>
      <c r="D141" t="inlineStr">
        <is>
          <t>DALARNAS LÄN</t>
        </is>
      </c>
      <c r="E141" t="inlineStr">
        <is>
          <t>ORSA</t>
        </is>
      </c>
      <c r="F141" t="inlineStr">
        <is>
          <t>Allmännings- och besparingsskogar</t>
        </is>
      </c>
      <c r="G141" t="n">
        <v>5.2</v>
      </c>
      <c r="H141" t="n">
        <v>0</v>
      </c>
      <c r="I141" t="n">
        <v>0</v>
      </c>
      <c r="J141" t="n">
        <v>0</v>
      </c>
      <c r="K141" t="n">
        <v>0</v>
      </c>
      <c r="L141" t="n">
        <v>0</v>
      </c>
      <c r="M141" t="n">
        <v>0</v>
      </c>
      <c r="N141" t="n">
        <v>0</v>
      </c>
      <c r="O141" t="n">
        <v>0</v>
      </c>
      <c r="P141" t="n">
        <v>0</v>
      </c>
      <c r="Q141" t="n">
        <v>0</v>
      </c>
      <c r="R141" s="2" t="inlineStr"/>
    </row>
    <row r="142" ht="15" customHeight="1">
      <c r="A142" t="inlineStr">
        <is>
          <t>A 51563-2023</t>
        </is>
      </c>
      <c r="B142" s="1" t="n">
        <v>45222</v>
      </c>
      <c r="C142" s="1" t="n">
        <v>46036</v>
      </c>
      <c r="D142" t="inlineStr">
        <is>
          <t>DALARNAS LÄN</t>
        </is>
      </c>
      <c r="E142" t="inlineStr">
        <is>
          <t>ORSA</t>
        </is>
      </c>
      <c r="G142" t="n">
        <v>0.5</v>
      </c>
      <c r="H142" t="n">
        <v>0</v>
      </c>
      <c r="I142" t="n">
        <v>0</v>
      </c>
      <c r="J142" t="n">
        <v>0</v>
      </c>
      <c r="K142" t="n">
        <v>0</v>
      </c>
      <c r="L142" t="n">
        <v>0</v>
      </c>
      <c r="M142" t="n">
        <v>0</v>
      </c>
      <c r="N142" t="n">
        <v>0</v>
      </c>
      <c r="O142" t="n">
        <v>0</v>
      </c>
      <c r="P142" t="n">
        <v>0</v>
      </c>
      <c r="Q142" t="n">
        <v>0</v>
      </c>
      <c r="R142" s="2" t="inlineStr"/>
    </row>
    <row r="143" ht="15" customHeight="1">
      <c r="A143" t="inlineStr">
        <is>
          <t>A 56975-2023</t>
        </is>
      </c>
      <c r="B143" s="1" t="n">
        <v>45244</v>
      </c>
      <c r="C143" s="1" t="n">
        <v>46036</v>
      </c>
      <c r="D143" t="inlineStr">
        <is>
          <t>DALARNAS LÄN</t>
        </is>
      </c>
      <c r="E143" t="inlineStr">
        <is>
          <t>ORSA</t>
        </is>
      </c>
      <c r="G143" t="n">
        <v>1.6</v>
      </c>
      <c r="H143" t="n">
        <v>0</v>
      </c>
      <c r="I143" t="n">
        <v>0</v>
      </c>
      <c r="J143" t="n">
        <v>0</v>
      </c>
      <c r="K143" t="n">
        <v>0</v>
      </c>
      <c r="L143" t="n">
        <v>0</v>
      </c>
      <c r="M143" t="n">
        <v>0</v>
      </c>
      <c r="N143" t="n">
        <v>0</v>
      </c>
      <c r="O143" t="n">
        <v>0</v>
      </c>
      <c r="P143" t="n">
        <v>0</v>
      </c>
      <c r="Q143" t="n">
        <v>0</v>
      </c>
      <c r="R143" s="2" t="inlineStr"/>
    </row>
    <row r="144" ht="15" customHeight="1">
      <c r="A144" t="inlineStr">
        <is>
          <t>A 41291-2021</t>
        </is>
      </c>
      <c r="B144" s="1" t="n">
        <v>44424</v>
      </c>
      <c r="C144" s="1" t="n">
        <v>46036</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21446-2024</t>
        </is>
      </c>
      <c r="B145" s="1" t="n">
        <v>45441.45840277777</v>
      </c>
      <c r="C145" s="1" t="n">
        <v>46036</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63371-2023</t>
        </is>
      </c>
      <c r="B146" s="1" t="n">
        <v>45274.47642361111</v>
      </c>
      <c r="C146" s="1" t="n">
        <v>46036</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61279-2023</t>
        </is>
      </c>
      <c r="B147" s="1" t="n">
        <v>45264.5270949074</v>
      </c>
      <c r="C147" s="1" t="n">
        <v>46036</v>
      </c>
      <c r="D147" t="inlineStr">
        <is>
          <t>DALARNAS LÄN</t>
        </is>
      </c>
      <c r="E147" t="inlineStr">
        <is>
          <t>ORSA</t>
        </is>
      </c>
      <c r="G147" t="n">
        <v>0.2</v>
      </c>
      <c r="H147" t="n">
        <v>0</v>
      </c>
      <c r="I147" t="n">
        <v>0</v>
      </c>
      <c r="J147" t="n">
        <v>0</v>
      </c>
      <c r="K147" t="n">
        <v>0</v>
      </c>
      <c r="L147" t="n">
        <v>0</v>
      </c>
      <c r="M147" t="n">
        <v>0</v>
      </c>
      <c r="N147" t="n">
        <v>0</v>
      </c>
      <c r="O147" t="n">
        <v>0</v>
      </c>
      <c r="P147" t="n">
        <v>0</v>
      </c>
      <c r="Q147" t="n">
        <v>0</v>
      </c>
      <c r="R147" s="2" t="inlineStr"/>
    </row>
    <row r="148" ht="15" customHeight="1">
      <c r="A148" t="inlineStr">
        <is>
          <t>A 16392-2024</t>
        </is>
      </c>
      <c r="B148" s="1" t="n">
        <v>45407.62380787037</v>
      </c>
      <c r="C148" s="1" t="n">
        <v>46036</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27190-2025</t>
        </is>
      </c>
      <c r="B149" s="1" t="n">
        <v>45812.37025462963</v>
      </c>
      <c r="C149" s="1" t="n">
        <v>46036</v>
      </c>
      <c r="D149" t="inlineStr">
        <is>
          <t>DALARNAS LÄN</t>
        </is>
      </c>
      <c r="E149" t="inlineStr">
        <is>
          <t>ORSA</t>
        </is>
      </c>
      <c r="F149" t="inlineStr">
        <is>
          <t>Bergvik skog öst AB</t>
        </is>
      </c>
      <c r="G149" t="n">
        <v>4.9</v>
      </c>
      <c r="H149" t="n">
        <v>0</v>
      </c>
      <c r="I149" t="n">
        <v>0</v>
      </c>
      <c r="J149" t="n">
        <v>0</v>
      </c>
      <c r="K149" t="n">
        <v>0</v>
      </c>
      <c r="L149" t="n">
        <v>0</v>
      </c>
      <c r="M149" t="n">
        <v>0</v>
      </c>
      <c r="N149" t="n">
        <v>0</v>
      </c>
      <c r="O149" t="n">
        <v>0</v>
      </c>
      <c r="P149" t="n">
        <v>0</v>
      </c>
      <c r="Q149" t="n">
        <v>0</v>
      </c>
      <c r="R149" s="2" t="inlineStr"/>
    </row>
    <row r="150" ht="15" customHeight="1">
      <c r="A150" t="inlineStr">
        <is>
          <t>A 27221-2025</t>
        </is>
      </c>
      <c r="B150" s="1" t="n">
        <v>45812.42304398148</v>
      </c>
      <c r="C150" s="1" t="n">
        <v>46036</v>
      </c>
      <c r="D150" t="inlineStr">
        <is>
          <t>DALARNAS LÄN</t>
        </is>
      </c>
      <c r="E150" t="inlineStr">
        <is>
          <t>ORSA</t>
        </is>
      </c>
      <c r="F150" t="inlineStr">
        <is>
          <t>Bergvik skog öst AB</t>
        </is>
      </c>
      <c r="G150" t="n">
        <v>3.7</v>
      </c>
      <c r="H150" t="n">
        <v>0</v>
      </c>
      <c r="I150" t="n">
        <v>0</v>
      </c>
      <c r="J150" t="n">
        <v>0</v>
      </c>
      <c r="K150" t="n">
        <v>0</v>
      </c>
      <c r="L150" t="n">
        <v>0</v>
      </c>
      <c r="M150" t="n">
        <v>0</v>
      </c>
      <c r="N150" t="n">
        <v>0</v>
      </c>
      <c r="O150" t="n">
        <v>0</v>
      </c>
      <c r="P150" t="n">
        <v>0</v>
      </c>
      <c r="Q150" t="n">
        <v>0</v>
      </c>
      <c r="R150" s="2" t="inlineStr"/>
    </row>
    <row r="151" ht="15" customHeight="1">
      <c r="A151" t="inlineStr">
        <is>
          <t>A 6490-2025</t>
        </is>
      </c>
      <c r="B151" s="1" t="n">
        <v>45699</v>
      </c>
      <c r="C151" s="1" t="n">
        <v>46036</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27313-2025</t>
        </is>
      </c>
      <c r="B152" s="1" t="n">
        <v>45812.58365740741</v>
      </c>
      <c r="C152" s="1" t="n">
        <v>46036</v>
      </c>
      <c r="D152" t="inlineStr">
        <is>
          <t>DALARNAS LÄN</t>
        </is>
      </c>
      <c r="E152" t="inlineStr">
        <is>
          <t>ORSA</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38672-2025</t>
        </is>
      </c>
      <c r="B153" s="1" t="n">
        <v>45884.63340277778</v>
      </c>
      <c r="C153" s="1" t="n">
        <v>46036</v>
      </c>
      <c r="D153" t="inlineStr">
        <is>
          <t>DALARNAS LÄN</t>
        </is>
      </c>
      <c r="E153" t="inlineStr">
        <is>
          <t>ORSA</t>
        </is>
      </c>
      <c r="G153" t="n">
        <v>4.6</v>
      </c>
      <c r="H153" t="n">
        <v>0</v>
      </c>
      <c r="I153" t="n">
        <v>0</v>
      </c>
      <c r="J153" t="n">
        <v>0</v>
      </c>
      <c r="K153" t="n">
        <v>0</v>
      </c>
      <c r="L153" t="n">
        <v>0</v>
      </c>
      <c r="M153" t="n">
        <v>0</v>
      </c>
      <c r="N153" t="n">
        <v>0</v>
      </c>
      <c r="O153" t="n">
        <v>0</v>
      </c>
      <c r="P153" t="n">
        <v>0</v>
      </c>
      <c r="Q153" t="n">
        <v>0</v>
      </c>
      <c r="R153" s="2" t="inlineStr"/>
    </row>
    <row r="154" ht="15" customHeight="1">
      <c r="A154" t="inlineStr">
        <is>
          <t>A 38688-2025</t>
        </is>
      </c>
      <c r="B154" s="1" t="n">
        <v>45884.66097222222</v>
      </c>
      <c r="C154" s="1" t="n">
        <v>46036</v>
      </c>
      <c r="D154" t="inlineStr">
        <is>
          <t>DALARNAS LÄN</t>
        </is>
      </c>
      <c r="E154" t="inlineStr">
        <is>
          <t>ORSA</t>
        </is>
      </c>
      <c r="F154" t="inlineStr">
        <is>
          <t>Allmännings- och besparingsskogar</t>
        </is>
      </c>
      <c r="G154" t="n">
        <v>10.2</v>
      </c>
      <c r="H154" t="n">
        <v>0</v>
      </c>
      <c r="I154" t="n">
        <v>0</v>
      </c>
      <c r="J154" t="n">
        <v>0</v>
      </c>
      <c r="K154" t="n">
        <v>0</v>
      </c>
      <c r="L154" t="n">
        <v>0</v>
      </c>
      <c r="M154" t="n">
        <v>0</v>
      </c>
      <c r="N154" t="n">
        <v>0</v>
      </c>
      <c r="O154" t="n">
        <v>0</v>
      </c>
      <c r="P154" t="n">
        <v>0</v>
      </c>
      <c r="Q154" t="n">
        <v>0</v>
      </c>
      <c r="R154" s="2" t="inlineStr"/>
    </row>
    <row r="155" ht="15" customHeight="1">
      <c r="A155" t="inlineStr">
        <is>
          <t>A 20349-2021</t>
        </is>
      </c>
      <c r="B155" s="1" t="n">
        <v>44315.41582175926</v>
      </c>
      <c r="C155" s="1" t="n">
        <v>46036</v>
      </c>
      <c r="D155" t="inlineStr">
        <is>
          <t>DALARNAS LÄN</t>
        </is>
      </c>
      <c r="E155" t="inlineStr">
        <is>
          <t>ORSA</t>
        </is>
      </c>
      <c r="G155" t="n">
        <v>2.3</v>
      </c>
      <c r="H155" t="n">
        <v>0</v>
      </c>
      <c r="I155" t="n">
        <v>0</v>
      </c>
      <c r="J155" t="n">
        <v>0</v>
      </c>
      <c r="K155" t="n">
        <v>0</v>
      </c>
      <c r="L155" t="n">
        <v>0</v>
      </c>
      <c r="M155" t="n">
        <v>0</v>
      </c>
      <c r="N155" t="n">
        <v>0</v>
      </c>
      <c r="O155" t="n">
        <v>0</v>
      </c>
      <c r="P155" t="n">
        <v>0</v>
      </c>
      <c r="Q155" t="n">
        <v>0</v>
      </c>
      <c r="R155" s="2" t="inlineStr"/>
    </row>
    <row r="156" ht="15" customHeight="1">
      <c r="A156" t="inlineStr">
        <is>
          <t>A 27866-2025</t>
        </is>
      </c>
      <c r="B156" s="1" t="n">
        <v>45817.4262962963</v>
      </c>
      <c r="C156" s="1" t="n">
        <v>46036</v>
      </c>
      <c r="D156" t="inlineStr">
        <is>
          <t>DALARNAS LÄN</t>
        </is>
      </c>
      <c r="E156" t="inlineStr">
        <is>
          <t>ORSA</t>
        </is>
      </c>
      <c r="F156" t="inlineStr">
        <is>
          <t>Allmännings- och besparingsskogar</t>
        </is>
      </c>
      <c r="G156" t="n">
        <v>6</v>
      </c>
      <c r="H156" t="n">
        <v>0</v>
      </c>
      <c r="I156" t="n">
        <v>0</v>
      </c>
      <c r="J156" t="n">
        <v>0</v>
      </c>
      <c r="K156" t="n">
        <v>0</v>
      </c>
      <c r="L156" t="n">
        <v>0</v>
      </c>
      <c r="M156" t="n">
        <v>0</v>
      </c>
      <c r="N156" t="n">
        <v>0</v>
      </c>
      <c r="O156" t="n">
        <v>0</v>
      </c>
      <c r="P156" t="n">
        <v>0</v>
      </c>
      <c r="Q156" t="n">
        <v>0</v>
      </c>
      <c r="R156" s="2" t="inlineStr"/>
    </row>
    <row r="157" ht="15" customHeight="1">
      <c r="A157" t="inlineStr">
        <is>
          <t>A 8579-2025</t>
        </is>
      </c>
      <c r="B157" s="1" t="n">
        <v>45709</v>
      </c>
      <c r="C157" s="1" t="n">
        <v>46036</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33673-2023</t>
        </is>
      </c>
      <c r="B158" s="1" t="n">
        <v>45132</v>
      </c>
      <c r="C158" s="1" t="n">
        <v>46036</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27885-2025</t>
        </is>
      </c>
      <c r="B159" s="1" t="n">
        <v>45817.45034722222</v>
      </c>
      <c r="C159" s="1" t="n">
        <v>46036</v>
      </c>
      <c r="D159" t="inlineStr">
        <is>
          <t>DALARNAS LÄN</t>
        </is>
      </c>
      <c r="E159" t="inlineStr">
        <is>
          <t>ORSA</t>
        </is>
      </c>
      <c r="F159" t="inlineStr">
        <is>
          <t>Allmännings- och besparingsskogar</t>
        </is>
      </c>
      <c r="G159" t="n">
        <v>3.4</v>
      </c>
      <c r="H159" t="n">
        <v>0</v>
      </c>
      <c r="I159" t="n">
        <v>0</v>
      </c>
      <c r="J159" t="n">
        <v>0</v>
      </c>
      <c r="K159" t="n">
        <v>0</v>
      </c>
      <c r="L159" t="n">
        <v>0</v>
      </c>
      <c r="M159" t="n">
        <v>0</v>
      </c>
      <c r="N159" t="n">
        <v>0</v>
      </c>
      <c r="O159" t="n">
        <v>0</v>
      </c>
      <c r="P159" t="n">
        <v>0</v>
      </c>
      <c r="Q159" t="n">
        <v>0</v>
      </c>
      <c r="R159" s="2" t="inlineStr"/>
    </row>
    <row r="160" ht="15" customHeight="1">
      <c r="A160" t="inlineStr">
        <is>
          <t>A 27987-2025</t>
        </is>
      </c>
      <c r="B160" s="1" t="n">
        <v>45817.58361111111</v>
      </c>
      <c r="C160" s="1" t="n">
        <v>46036</v>
      </c>
      <c r="D160" t="inlineStr">
        <is>
          <t>DALARNAS LÄN</t>
        </is>
      </c>
      <c r="E160" t="inlineStr">
        <is>
          <t>ORSA</t>
        </is>
      </c>
      <c r="F160" t="inlineStr">
        <is>
          <t>Allmännings- och besparingsskogar</t>
        </is>
      </c>
      <c r="G160" t="n">
        <v>2.5</v>
      </c>
      <c r="H160" t="n">
        <v>0</v>
      </c>
      <c r="I160" t="n">
        <v>0</v>
      </c>
      <c r="J160" t="n">
        <v>0</v>
      </c>
      <c r="K160" t="n">
        <v>0</v>
      </c>
      <c r="L160" t="n">
        <v>0</v>
      </c>
      <c r="M160" t="n">
        <v>0</v>
      </c>
      <c r="N160" t="n">
        <v>0</v>
      </c>
      <c r="O160" t="n">
        <v>0</v>
      </c>
      <c r="P160" t="n">
        <v>0</v>
      </c>
      <c r="Q160" t="n">
        <v>0</v>
      </c>
      <c r="R160" s="2" t="inlineStr"/>
    </row>
    <row r="161" ht="15" customHeight="1">
      <c r="A161" t="inlineStr">
        <is>
          <t>A 24083-2021</t>
        </is>
      </c>
      <c r="B161" s="1" t="n">
        <v>44336</v>
      </c>
      <c r="C161" s="1" t="n">
        <v>46036</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28207-2025</t>
        </is>
      </c>
      <c r="B162" s="1" t="n">
        <v>45818.44871527778</v>
      </c>
      <c r="C162" s="1" t="n">
        <v>46036</v>
      </c>
      <c r="D162" t="inlineStr">
        <is>
          <t>DALARNAS LÄN</t>
        </is>
      </c>
      <c r="E162" t="inlineStr">
        <is>
          <t>ORSA</t>
        </is>
      </c>
      <c r="F162" t="inlineStr">
        <is>
          <t>Bergvik skog öst AB</t>
        </is>
      </c>
      <c r="G162" t="n">
        <v>2.9</v>
      </c>
      <c r="H162" t="n">
        <v>0</v>
      </c>
      <c r="I162" t="n">
        <v>0</v>
      </c>
      <c r="J162" t="n">
        <v>0</v>
      </c>
      <c r="K162" t="n">
        <v>0</v>
      </c>
      <c r="L162" t="n">
        <v>0</v>
      </c>
      <c r="M162" t="n">
        <v>0</v>
      </c>
      <c r="N162" t="n">
        <v>0</v>
      </c>
      <c r="O162" t="n">
        <v>0</v>
      </c>
      <c r="P162" t="n">
        <v>0</v>
      </c>
      <c r="Q162" t="n">
        <v>0</v>
      </c>
      <c r="R162" s="2" t="inlineStr"/>
    </row>
    <row r="163" ht="15" customHeight="1">
      <c r="A163" t="inlineStr">
        <is>
          <t>A 28635-2025</t>
        </is>
      </c>
      <c r="B163" s="1" t="n">
        <v>45819.63112268518</v>
      </c>
      <c r="C163" s="1" t="n">
        <v>46036</v>
      </c>
      <c r="D163" t="inlineStr">
        <is>
          <t>DALARNAS LÄN</t>
        </is>
      </c>
      <c r="E163" t="inlineStr">
        <is>
          <t>ORSA</t>
        </is>
      </c>
      <c r="F163" t="inlineStr">
        <is>
          <t>Bergvik skog öst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28317-2025</t>
        </is>
      </c>
      <c r="B164" s="1" t="n">
        <v>45818.6300462963</v>
      </c>
      <c r="C164" s="1" t="n">
        <v>46036</v>
      </c>
      <c r="D164" t="inlineStr">
        <is>
          <t>DALARNAS LÄN</t>
        </is>
      </c>
      <c r="E164" t="inlineStr">
        <is>
          <t>ORSA</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38840-2025</t>
        </is>
      </c>
      <c r="B165" s="1" t="n">
        <v>45887.5375</v>
      </c>
      <c r="C165" s="1" t="n">
        <v>46036</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28609-2025</t>
        </is>
      </c>
      <c r="B166" s="1" t="n">
        <v>45819.60303240741</v>
      </c>
      <c r="C166" s="1" t="n">
        <v>46036</v>
      </c>
      <c r="D166" t="inlineStr">
        <is>
          <t>DALARNAS LÄN</t>
        </is>
      </c>
      <c r="E166" t="inlineStr">
        <is>
          <t>ORSA</t>
        </is>
      </c>
      <c r="F166" t="inlineStr">
        <is>
          <t>Bergvik skog öst AB</t>
        </is>
      </c>
      <c r="G166" t="n">
        <v>9.1</v>
      </c>
      <c r="H166" t="n">
        <v>0</v>
      </c>
      <c r="I166" t="n">
        <v>0</v>
      </c>
      <c r="J166" t="n">
        <v>0</v>
      </c>
      <c r="K166" t="n">
        <v>0</v>
      </c>
      <c r="L166" t="n">
        <v>0</v>
      </c>
      <c r="M166" t="n">
        <v>0</v>
      </c>
      <c r="N166" t="n">
        <v>0</v>
      </c>
      <c r="O166" t="n">
        <v>0</v>
      </c>
      <c r="P166" t="n">
        <v>0</v>
      </c>
      <c r="Q166" t="n">
        <v>0</v>
      </c>
      <c r="R166" s="2" t="inlineStr"/>
    </row>
    <row r="167" ht="15" customHeight="1">
      <c r="A167" t="inlineStr">
        <is>
          <t>A 28155-2023</t>
        </is>
      </c>
      <c r="B167" s="1" t="n">
        <v>45099</v>
      </c>
      <c r="C167" s="1" t="n">
        <v>46036</v>
      </c>
      <c r="D167" t="inlineStr">
        <is>
          <t>DALARNAS LÄN</t>
        </is>
      </c>
      <c r="E167" t="inlineStr">
        <is>
          <t>ORSA</t>
        </is>
      </c>
      <c r="F167" t="inlineStr">
        <is>
          <t>Bergvik skog öst AB</t>
        </is>
      </c>
      <c r="G167" t="n">
        <v>7.8</v>
      </c>
      <c r="H167" t="n">
        <v>0</v>
      </c>
      <c r="I167" t="n">
        <v>0</v>
      </c>
      <c r="J167" t="n">
        <v>0</v>
      </c>
      <c r="K167" t="n">
        <v>0</v>
      </c>
      <c r="L167" t="n">
        <v>0</v>
      </c>
      <c r="M167" t="n">
        <v>0</v>
      </c>
      <c r="N167" t="n">
        <v>0</v>
      </c>
      <c r="O167" t="n">
        <v>0</v>
      </c>
      <c r="P167" t="n">
        <v>0</v>
      </c>
      <c r="Q167" t="n">
        <v>0</v>
      </c>
      <c r="R167" s="2" t="inlineStr"/>
    </row>
    <row r="168" ht="15" customHeight="1">
      <c r="A168" t="inlineStr">
        <is>
          <t>A 51994-2023</t>
        </is>
      </c>
      <c r="B168" s="1" t="n">
        <v>45223.5884375</v>
      </c>
      <c r="C168" s="1" t="n">
        <v>46036</v>
      </c>
      <c r="D168" t="inlineStr">
        <is>
          <t>DALARNAS LÄN</t>
        </is>
      </c>
      <c r="E168" t="inlineStr">
        <is>
          <t>ORSA</t>
        </is>
      </c>
      <c r="G168" t="n">
        <v>10.7</v>
      </c>
      <c r="H168" t="n">
        <v>0</v>
      </c>
      <c r="I168" t="n">
        <v>0</v>
      </c>
      <c r="J168" t="n">
        <v>0</v>
      </c>
      <c r="K168" t="n">
        <v>0</v>
      </c>
      <c r="L168" t="n">
        <v>0</v>
      </c>
      <c r="M168" t="n">
        <v>0</v>
      </c>
      <c r="N168" t="n">
        <v>0</v>
      </c>
      <c r="O168" t="n">
        <v>0</v>
      </c>
      <c r="P168" t="n">
        <v>0</v>
      </c>
      <c r="Q168" t="n">
        <v>0</v>
      </c>
      <c r="R168" s="2" t="inlineStr"/>
    </row>
    <row r="169" ht="15" customHeight="1">
      <c r="A169" t="inlineStr">
        <is>
          <t>A 28388-2024</t>
        </is>
      </c>
      <c r="B169" s="1" t="n">
        <v>45477.59960648148</v>
      </c>
      <c r="C169" s="1" t="n">
        <v>46036</v>
      </c>
      <c r="D169" t="inlineStr">
        <is>
          <t>DALARNAS LÄN</t>
        </is>
      </c>
      <c r="E169" t="inlineStr">
        <is>
          <t>ORSA</t>
        </is>
      </c>
      <c r="F169" t="inlineStr">
        <is>
          <t>Bergvik skog öst AB</t>
        </is>
      </c>
      <c r="G169" t="n">
        <v>3.8</v>
      </c>
      <c r="H169" t="n">
        <v>0</v>
      </c>
      <c r="I169" t="n">
        <v>0</v>
      </c>
      <c r="J169" t="n">
        <v>0</v>
      </c>
      <c r="K169" t="n">
        <v>0</v>
      </c>
      <c r="L169" t="n">
        <v>0</v>
      </c>
      <c r="M169" t="n">
        <v>0</v>
      </c>
      <c r="N169" t="n">
        <v>0</v>
      </c>
      <c r="O169" t="n">
        <v>0</v>
      </c>
      <c r="P169" t="n">
        <v>0</v>
      </c>
      <c r="Q169" t="n">
        <v>0</v>
      </c>
      <c r="R169" s="2" t="inlineStr"/>
    </row>
    <row r="170" ht="15" customHeight="1">
      <c r="A170" t="inlineStr">
        <is>
          <t>A 52903-2024</t>
        </is>
      </c>
      <c r="B170" s="1" t="n">
        <v>45610.6875462963</v>
      </c>
      <c r="C170" s="1" t="n">
        <v>46036</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55280-2024</t>
        </is>
      </c>
      <c r="B171" s="1" t="n">
        <v>45621.62524305555</v>
      </c>
      <c r="C171" s="1" t="n">
        <v>46036</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29933-2025</t>
        </is>
      </c>
      <c r="B172" s="1" t="n">
        <v>45826.44121527778</v>
      </c>
      <c r="C172" s="1" t="n">
        <v>46036</v>
      </c>
      <c r="D172" t="inlineStr">
        <is>
          <t>DALARNAS LÄN</t>
        </is>
      </c>
      <c r="E172" t="inlineStr">
        <is>
          <t>ORSA</t>
        </is>
      </c>
      <c r="G172" t="n">
        <v>1.8</v>
      </c>
      <c r="H172" t="n">
        <v>0</v>
      </c>
      <c r="I172" t="n">
        <v>0</v>
      </c>
      <c r="J172" t="n">
        <v>0</v>
      </c>
      <c r="K172" t="n">
        <v>0</v>
      </c>
      <c r="L172" t="n">
        <v>0</v>
      </c>
      <c r="M172" t="n">
        <v>0</v>
      </c>
      <c r="N172" t="n">
        <v>0</v>
      </c>
      <c r="O172" t="n">
        <v>0</v>
      </c>
      <c r="P172" t="n">
        <v>0</v>
      </c>
      <c r="Q172" t="n">
        <v>0</v>
      </c>
      <c r="R172" s="2" t="inlineStr"/>
    </row>
    <row r="173" ht="15" customHeight="1">
      <c r="A173" t="inlineStr">
        <is>
          <t>A 40070-2025</t>
        </is>
      </c>
      <c r="B173" s="1" t="n">
        <v>45894.44197916667</v>
      </c>
      <c r="C173" s="1" t="n">
        <v>46036</v>
      </c>
      <c r="D173" t="inlineStr">
        <is>
          <t>DALARNAS LÄN</t>
        </is>
      </c>
      <c r="E173" t="inlineStr">
        <is>
          <t>ORSA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19024-2021</t>
        </is>
      </c>
      <c r="B174" s="1" t="n">
        <v>44308.5053587963</v>
      </c>
      <c r="C174" s="1" t="n">
        <v>46036</v>
      </c>
      <c r="D174" t="inlineStr">
        <is>
          <t>DALARNAS LÄN</t>
        </is>
      </c>
      <c r="E174" t="inlineStr">
        <is>
          <t>ORSA</t>
        </is>
      </c>
      <c r="G174" t="n">
        <v>1.7</v>
      </c>
      <c r="H174" t="n">
        <v>0</v>
      </c>
      <c r="I174" t="n">
        <v>0</v>
      </c>
      <c r="J174" t="n">
        <v>0</v>
      </c>
      <c r="K174" t="n">
        <v>0</v>
      </c>
      <c r="L174" t="n">
        <v>0</v>
      </c>
      <c r="M174" t="n">
        <v>0</v>
      </c>
      <c r="N174" t="n">
        <v>0</v>
      </c>
      <c r="O174" t="n">
        <v>0</v>
      </c>
      <c r="P174" t="n">
        <v>0</v>
      </c>
      <c r="Q174" t="n">
        <v>0</v>
      </c>
      <c r="R174" s="2" t="inlineStr"/>
    </row>
    <row r="175" ht="15" customHeight="1">
      <c r="A175" t="inlineStr">
        <is>
          <t>A 40111-2025</t>
        </is>
      </c>
      <c r="B175" s="1" t="n">
        <v>45894.49417824074</v>
      </c>
      <c r="C175" s="1" t="n">
        <v>46036</v>
      </c>
      <c r="D175" t="inlineStr">
        <is>
          <t>DALARNAS LÄN</t>
        </is>
      </c>
      <c r="E175" t="inlineStr">
        <is>
          <t>ORSA</t>
        </is>
      </c>
      <c r="F175" t="inlineStr">
        <is>
          <t>Allmännings- och besparingsskogar</t>
        </is>
      </c>
      <c r="G175" t="n">
        <v>18.6</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46036</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50392-2024</t>
        </is>
      </c>
      <c r="B177" s="1" t="n">
        <v>45601.33789351852</v>
      </c>
      <c r="C177" s="1" t="n">
        <v>46036</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21301-2023</t>
        </is>
      </c>
      <c r="B178" s="1" t="n">
        <v>45062.66613425926</v>
      </c>
      <c r="C178" s="1" t="n">
        <v>46036</v>
      </c>
      <c r="D178" t="inlineStr">
        <is>
          <t>DALARNAS LÄN</t>
        </is>
      </c>
      <c r="E178" t="inlineStr">
        <is>
          <t>ORSA</t>
        </is>
      </c>
      <c r="G178" t="n">
        <v>2.2</v>
      </c>
      <c r="H178" t="n">
        <v>0</v>
      </c>
      <c r="I178" t="n">
        <v>0</v>
      </c>
      <c r="J178" t="n">
        <v>0</v>
      </c>
      <c r="K178" t="n">
        <v>0</v>
      </c>
      <c r="L178" t="n">
        <v>0</v>
      </c>
      <c r="M178" t="n">
        <v>0</v>
      </c>
      <c r="N178" t="n">
        <v>0</v>
      </c>
      <c r="O178" t="n">
        <v>0</v>
      </c>
      <c r="P178" t="n">
        <v>0</v>
      </c>
      <c r="Q178" t="n">
        <v>0</v>
      </c>
      <c r="R178" s="2" t="inlineStr"/>
    </row>
    <row r="179" ht="15" customHeight="1">
      <c r="A179" t="inlineStr">
        <is>
          <t>A 40127-2025</t>
        </is>
      </c>
      <c r="B179" s="1" t="n">
        <v>45894.53300925926</v>
      </c>
      <c r="C179" s="1" t="n">
        <v>46036</v>
      </c>
      <c r="D179" t="inlineStr">
        <is>
          <t>DALARNAS LÄN</t>
        </is>
      </c>
      <c r="E179" t="inlineStr">
        <is>
          <t>ORSA</t>
        </is>
      </c>
      <c r="F179" t="inlineStr">
        <is>
          <t>Allmännings- och besparingsskogar</t>
        </is>
      </c>
      <c r="G179" t="n">
        <v>17.4</v>
      </c>
      <c r="H179" t="n">
        <v>0</v>
      </c>
      <c r="I179" t="n">
        <v>0</v>
      </c>
      <c r="J179" t="n">
        <v>0</v>
      </c>
      <c r="K179" t="n">
        <v>0</v>
      </c>
      <c r="L179" t="n">
        <v>0</v>
      </c>
      <c r="M179" t="n">
        <v>0</v>
      </c>
      <c r="N179" t="n">
        <v>0</v>
      </c>
      <c r="O179" t="n">
        <v>0</v>
      </c>
      <c r="P179" t="n">
        <v>0</v>
      </c>
      <c r="Q179" t="n">
        <v>0</v>
      </c>
      <c r="R179" s="2" t="inlineStr"/>
    </row>
    <row r="180" ht="15" customHeight="1">
      <c r="A180" t="inlineStr">
        <is>
          <t>A 10374-2023</t>
        </is>
      </c>
      <c r="B180" s="1" t="n">
        <v>44987.41359953704</v>
      </c>
      <c r="C180" s="1" t="n">
        <v>46036</v>
      </c>
      <c r="D180" t="inlineStr">
        <is>
          <t>DALARNAS LÄN</t>
        </is>
      </c>
      <c r="E180" t="inlineStr">
        <is>
          <t>ORSA</t>
        </is>
      </c>
      <c r="G180" t="n">
        <v>1.8</v>
      </c>
      <c r="H180" t="n">
        <v>0</v>
      </c>
      <c r="I180" t="n">
        <v>0</v>
      </c>
      <c r="J180" t="n">
        <v>0</v>
      </c>
      <c r="K180" t="n">
        <v>0</v>
      </c>
      <c r="L180" t="n">
        <v>0</v>
      </c>
      <c r="M180" t="n">
        <v>0</v>
      </c>
      <c r="N180" t="n">
        <v>0</v>
      </c>
      <c r="O180" t="n">
        <v>0</v>
      </c>
      <c r="P180" t="n">
        <v>0</v>
      </c>
      <c r="Q180" t="n">
        <v>0</v>
      </c>
      <c r="R180" s="2" t="inlineStr"/>
    </row>
    <row r="181" ht="15" customHeight="1">
      <c r="A181" t="inlineStr">
        <is>
          <t>A 31365-2025</t>
        </is>
      </c>
      <c r="B181" s="1" t="n">
        <v>45833.43884259259</v>
      </c>
      <c r="C181" s="1" t="n">
        <v>46036</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40091-2025</t>
        </is>
      </c>
      <c r="B182" s="1" t="n">
        <v>45894.47822916666</v>
      </c>
      <c r="C182" s="1" t="n">
        <v>46036</v>
      </c>
      <c r="D182" t="inlineStr">
        <is>
          <t>DALARNAS LÄN</t>
        </is>
      </c>
      <c r="E182" t="inlineStr">
        <is>
          <t>ORSA</t>
        </is>
      </c>
      <c r="F182" t="inlineStr">
        <is>
          <t>Allmännings- och besparingsskogar</t>
        </is>
      </c>
      <c r="G182" t="n">
        <v>20.4</v>
      </c>
      <c r="H182" t="n">
        <v>0</v>
      </c>
      <c r="I182" t="n">
        <v>0</v>
      </c>
      <c r="J182" t="n">
        <v>0</v>
      </c>
      <c r="K182" t="n">
        <v>0</v>
      </c>
      <c r="L182" t="n">
        <v>0</v>
      </c>
      <c r="M182" t="n">
        <v>0</v>
      </c>
      <c r="N182" t="n">
        <v>0</v>
      </c>
      <c r="O182" t="n">
        <v>0</v>
      </c>
      <c r="P182" t="n">
        <v>0</v>
      </c>
      <c r="Q182" t="n">
        <v>0</v>
      </c>
      <c r="R182" s="2" t="inlineStr"/>
    </row>
    <row r="183" ht="15" customHeight="1">
      <c r="A183" t="inlineStr">
        <is>
          <t>A 40577-2025</t>
        </is>
      </c>
      <c r="B183" s="1" t="n">
        <v>45896.51028935185</v>
      </c>
      <c r="C183" s="1" t="n">
        <v>46036</v>
      </c>
      <c r="D183" t="inlineStr">
        <is>
          <t>DALARNAS LÄN</t>
        </is>
      </c>
      <c r="E183" t="inlineStr">
        <is>
          <t>ORSA</t>
        </is>
      </c>
      <c r="F183" t="inlineStr">
        <is>
          <t>Allmännings- och besparingsskogar</t>
        </is>
      </c>
      <c r="G183" t="n">
        <v>13.8</v>
      </c>
      <c r="H183" t="n">
        <v>0</v>
      </c>
      <c r="I183" t="n">
        <v>0</v>
      </c>
      <c r="J183" t="n">
        <v>0</v>
      </c>
      <c r="K183" t="n">
        <v>0</v>
      </c>
      <c r="L183" t="n">
        <v>0</v>
      </c>
      <c r="M183" t="n">
        <v>0</v>
      </c>
      <c r="N183" t="n">
        <v>0</v>
      </c>
      <c r="O183" t="n">
        <v>0</v>
      </c>
      <c r="P183" t="n">
        <v>0</v>
      </c>
      <c r="Q183" t="n">
        <v>0</v>
      </c>
      <c r="R183" s="2" t="inlineStr"/>
    </row>
    <row r="184" ht="15" customHeight="1">
      <c r="A184" t="inlineStr">
        <is>
          <t>A 28923-2024</t>
        </is>
      </c>
      <c r="B184" s="1" t="n">
        <v>45481</v>
      </c>
      <c r="C184" s="1" t="n">
        <v>46036</v>
      </c>
      <c r="D184" t="inlineStr">
        <is>
          <t>DALARNAS LÄN</t>
        </is>
      </c>
      <c r="E184" t="inlineStr">
        <is>
          <t>ORSA</t>
        </is>
      </c>
      <c r="F184" t="inlineStr">
        <is>
          <t>Allmännings- och besparingsskogar</t>
        </is>
      </c>
      <c r="G184" t="n">
        <v>13.9</v>
      </c>
      <c r="H184" t="n">
        <v>0</v>
      </c>
      <c r="I184" t="n">
        <v>0</v>
      </c>
      <c r="J184" t="n">
        <v>0</v>
      </c>
      <c r="K184" t="n">
        <v>0</v>
      </c>
      <c r="L184" t="n">
        <v>0</v>
      </c>
      <c r="M184" t="n">
        <v>0</v>
      </c>
      <c r="N184" t="n">
        <v>0</v>
      </c>
      <c r="O184" t="n">
        <v>0</v>
      </c>
      <c r="P184" t="n">
        <v>0</v>
      </c>
      <c r="Q184" t="n">
        <v>0</v>
      </c>
      <c r="R184" s="2" t="inlineStr"/>
    </row>
    <row r="185" ht="15" customHeight="1">
      <c r="A185" t="inlineStr">
        <is>
          <t>A 15113-2025</t>
        </is>
      </c>
      <c r="B185" s="1" t="n">
        <v>45744.36179398148</v>
      </c>
      <c r="C185" s="1" t="n">
        <v>46036</v>
      </c>
      <c r="D185" t="inlineStr">
        <is>
          <t>DALARNAS LÄN</t>
        </is>
      </c>
      <c r="E185" t="inlineStr">
        <is>
          <t>ORSA</t>
        </is>
      </c>
      <c r="F185" t="inlineStr">
        <is>
          <t>Allmännings- och besparingsskogar</t>
        </is>
      </c>
      <c r="G185" t="n">
        <v>3.3</v>
      </c>
      <c r="H185" t="n">
        <v>0</v>
      </c>
      <c r="I185" t="n">
        <v>0</v>
      </c>
      <c r="J185" t="n">
        <v>0</v>
      </c>
      <c r="K185" t="n">
        <v>0</v>
      </c>
      <c r="L185" t="n">
        <v>0</v>
      </c>
      <c r="M185" t="n">
        <v>0</v>
      </c>
      <c r="N185" t="n">
        <v>0</v>
      </c>
      <c r="O185" t="n">
        <v>0</v>
      </c>
      <c r="P185" t="n">
        <v>0</v>
      </c>
      <c r="Q185" t="n">
        <v>0</v>
      </c>
      <c r="R185" s="2" t="inlineStr"/>
    </row>
    <row r="186" ht="15" customHeight="1">
      <c r="A186" t="inlineStr">
        <is>
          <t>A 19932-2021</t>
        </is>
      </c>
      <c r="B186" s="1" t="n">
        <v>44313.60207175926</v>
      </c>
      <c r="C186" s="1" t="n">
        <v>46036</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47732-2022</t>
        </is>
      </c>
      <c r="B187" s="1" t="n">
        <v>44854.63668981481</v>
      </c>
      <c r="C187" s="1" t="n">
        <v>46036</v>
      </c>
      <c r="D187" t="inlineStr">
        <is>
          <t>DALARNAS LÄN</t>
        </is>
      </c>
      <c r="E187" t="inlineStr">
        <is>
          <t>ORSA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36089-2023</t>
        </is>
      </c>
      <c r="B188" s="1" t="n">
        <v>45149.51068287037</v>
      </c>
      <c r="C188" s="1" t="n">
        <v>46036</v>
      </c>
      <c r="D188" t="inlineStr">
        <is>
          <t>DALARNAS LÄN</t>
        </is>
      </c>
      <c r="E188" t="inlineStr">
        <is>
          <t>ORSA</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31634-2025</t>
        </is>
      </c>
      <c r="B189" s="1" t="n">
        <v>45834</v>
      </c>
      <c r="C189" s="1" t="n">
        <v>46036</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31659-2025</t>
        </is>
      </c>
      <c r="B190" s="1" t="n">
        <v>45834.35421296296</v>
      </c>
      <c r="C190" s="1" t="n">
        <v>46036</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22491-2025</t>
        </is>
      </c>
      <c r="B191" s="1" t="n">
        <v>45786.65040509259</v>
      </c>
      <c r="C191" s="1" t="n">
        <v>46036</v>
      </c>
      <c r="D191" t="inlineStr">
        <is>
          <t>DALARNAS LÄN</t>
        </is>
      </c>
      <c r="E191" t="inlineStr">
        <is>
          <t>ORSA</t>
        </is>
      </c>
      <c r="F191" t="inlineStr">
        <is>
          <t>Bergvik skog öst AB</t>
        </is>
      </c>
      <c r="G191" t="n">
        <v>5.7</v>
      </c>
      <c r="H191" t="n">
        <v>0</v>
      </c>
      <c r="I191" t="n">
        <v>0</v>
      </c>
      <c r="J191" t="n">
        <v>0</v>
      </c>
      <c r="K191" t="n">
        <v>0</v>
      </c>
      <c r="L191" t="n">
        <v>0</v>
      </c>
      <c r="M191" t="n">
        <v>0</v>
      </c>
      <c r="N191" t="n">
        <v>0</v>
      </c>
      <c r="O191" t="n">
        <v>0</v>
      </c>
      <c r="P191" t="n">
        <v>0</v>
      </c>
      <c r="Q191" t="n">
        <v>0</v>
      </c>
      <c r="R191" s="2" t="inlineStr"/>
    </row>
    <row r="192" ht="15" customHeight="1">
      <c r="A192" t="inlineStr">
        <is>
          <t>A 41991-2025</t>
        </is>
      </c>
      <c r="B192" s="1" t="n">
        <v>45903.54532407408</v>
      </c>
      <c r="C192" s="1" t="n">
        <v>46036</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32325-2025</t>
        </is>
      </c>
      <c r="B193" s="1" t="n">
        <v>45836</v>
      </c>
      <c r="C193" s="1" t="n">
        <v>46036</v>
      </c>
      <c r="D193" t="inlineStr">
        <is>
          <t>DALARNAS LÄN</t>
        </is>
      </c>
      <c r="E193" t="inlineStr">
        <is>
          <t>ORSA</t>
        </is>
      </c>
      <c r="G193" t="n">
        <v>3.8</v>
      </c>
      <c r="H193" t="n">
        <v>0</v>
      </c>
      <c r="I193" t="n">
        <v>0</v>
      </c>
      <c r="J193" t="n">
        <v>0</v>
      </c>
      <c r="K193" t="n">
        <v>0</v>
      </c>
      <c r="L193" t="n">
        <v>0</v>
      </c>
      <c r="M193" t="n">
        <v>0</v>
      </c>
      <c r="N193" t="n">
        <v>0</v>
      </c>
      <c r="O193" t="n">
        <v>0</v>
      </c>
      <c r="P193" t="n">
        <v>0</v>
      </c>
      <c r="Q193" t="n">
        <v>0</v>
      </c>
      <c r="R193" s="2" t="inlineStr"/>
    </row>
    <row r="194" ht="15" customHeight="1">
      <c r="A194" t="inlineStr">
        <is>
          <t>A 41927-2025</t>
        </is>
      </c>
      <c r="B194" s="1" t="n">
        <v>45903.4290625</v>
      </c>
      <c r="C194" s="1" t="n">
        <v>46036</v>
      </c>
      <c r="D194" t="inlineStr">
        <is>
          <t>DALARNAS LÄN</t>
        </is>
      </c>
      <c r="E194" t="inlineStr">
        <is>
          <t>ORSA</t>
        </is>
      </c>
      <c r="G194" t="n">
        <v>2.4</v>
      </c>
      <c r="H194" t="n">
        <v>0</v>
      </c>
      <c r="I194" t="n">
        <v>0</v>
      </c>
      <c r="J194" t="n">
        <v>0</v>
      </c>
      <c r="K194" t="n">
        <v>0</v>
      </c>
      <c r="L194" t="n">
        <v>0</v>
      </c>
      <c r="M194" t="n">
        <v>0</v>
      </c>
      <c r="N194" t="n">
        <v>0</v>
      </c>
      <c r="O194" t="n">
        <v>0</v>
      </c>
      <c r="P194" t="n">
        <v>0</v>
      </c>
      <c r="Q194" t="n">
        <v>0</v>
      </c>
      <c r="R194" s="2" t="inlineStr"/>
    </row>
    <row r="195" ht="15" customHeight="1">
      <c r="A195" t="inlineStr">
        <is>
          <t>A 41919-2025</t>
        </is>
      </c>
      <c r="B195" s="1" t="n">
        <v>45903.42372685186</v>
      </c>
      <c r="C195" s="1" t="n">
        <v>46036</v>
      </c>
      <c r="D195" t="inlineStr">
        <is>
          <t>DALARNAS LÄN</t>
        </is>
      </c>
      <c r="E195" t="inlineStr">
        <is>
          <t>ORSA</t>
        </is>
      </c>
      <c r="G195" t="n">
        <v>0.5</v>
      </c>
      <c r="H195" t="n">
        <v>0</v>
      </c>
      <c r="I195" t="n">
        <v>0</v>
      </c>
      <c r="J195" t="n">
        <v>0</v>
      </c>
      <c r="K195" t="n">
        <v>0</v>
      </c>
      <c r="L195" t="n">
        <v>0</v>
      </c>
      <c r="M195" t="n">
        <v>0</v>
      </c>
      <c r="N195" t="n">
        <v>0</v>
      </c>
      <c r="O195" t="n">
        <v>0</v>
      </c>
      <c r="P195" t="n">
        <v>0</v>
      </c>
      <c r="Q195" t="n">
        <v>0</v>
      </c>
      <c r="R195" s="2" t="inlineStr"/>
    </row>
    <row r="196" ht="15" customHeight="1">
      <c r="A196" t="inlineStr">
        <is>
          <t>A 41666-2025</t>
        </is>
      </c>
      <c r="B196" s="1" t="n">
        <v>45902.35822916667</v>
      </c>
      <c r="C196" s="1" t="n">
        <v>46036</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3107-2025</t>
        </is>
      </c>
      <c r="B197" s="1" t="n">
        <v>45678.68400462963</v>
      </c>
      <c r="C197" s="1" t="n">
        <v>46036</v>
      </c>
      <c r="D197" t="inlineStr">
        <is>
          <t>DALARNAS LÄN</t>
        </is>
      </c>
      <c r="E197" t="inlineStr">
        <is>
          <t>ORSA</t>
        </is>
      </c>
      <c r="G197" t="n">
        <v>2.1</v>
      </c>
      <c r="H197" t="n">
        <v>0</v>
      </c>
      <c r="I197" t="n">
        <v>0</v>
      </c>
      <c r="J197" t="n">
        <v>0</v>
      </c>
      <c r="K197" t="n">
        <v>0</v>
      </c>
      <c r="L197" t="n">
        <v>0</v>
      </c>
      <c r="M197" t="n">
        <v>0</v>
      </c>
      <c r="N197" t="n">
        <v>0</v>
      </c>
      <c r="O197" t="n">
        <v>0</v>
      </c>
      <c r="P197" t="n">
        <v>0</v>
      </c>
      <c r="Q197" t="n">
        <v>0</v>
      </c>
      <c r="R197" s="2" t="inlineStr"/>
    </row>
    <row r="198" ht="15" customHeight="1">
      <c r="A198" t="inlineStr">
        <is>
          <t>A 52912-2023</t>
        </is>
      </c>
      <c r="B198" s="1" t="n">
        <v>45226.51766203704</v>
      </c>
      <c r="C198" s="1" t="n">
        <v>46036</v>
      </c>
      <c r="D198" t="inlineStr">
        <is>
          <t>DALARNAS LÄN</t>
        </is>
      </c>
      <c r="E198" t="inlineStr">
        <is>
          <t>ORSA</t>
        </is>
      </c>
      <c r="G198" t="n">
        <v>10.9</v>
      </c>
      <c r="H198" t="n">
        <v>0</v>
      </c>
      <c r="I198" t="n">
        <v>0</v>
      </c>
      <c r="J198" t="n">
        <v>0</v>
      </c>
      <c r="K198" t="n">
        <v>0</v>
      </c>
      <c r="L198" t="n">
        <v>0</v>
      </c>
      <c r="M198" t="n">
        <v>0</v>
      </c>
      <c r="N198" t="n">
        <v>0</v>
      </c>
      <c r="O198" t="n">
        <v>0</v>
      </c>
      <c r="P198" t="n">
        <v>0</v>
      </c>
      <c r="Q198" t="n">
        <v>0</v>
      </c>
      <c r="R198" s="2" t="inlineStr"/>
    </row>
    <row r="199" ht="15" customHeight="1">
      <c r="A199" t="inlineStr">
        <is>
          <t>A 41971-2025</t>
        </is>
      </c>
      <c r="B199" s="1" t="n">
        <v>45903.48930555556</v>
      </c>
      <c r="C199" s="1" t="n">
        <v>46036</v>
      </c>
      <c r="D199" t="inlineStr">
        <is>
          <t>DALARNAS LÄN</t>
        </is>
      </c>
      <c r="E199" t="inlineStr">
        <is>
          <t>ORSA</t>
        </is>
      </c>
      <c r="G199" t="n">
        <v>15.8</v>
      </c>
      <c r="H199" t="n">
        <v>0</v>
      </c>
      <c r="I199" t="n">
        <v>0</v>
      </c>
      <c r="J199" t="n">
        <v>0</v>
      </c>
      <c r="K199" t="n">
        <v>0</v>
      </c>
      <c r="L199" t="n">
        <v>0</v>
      </c>
      <c r="M199" t="n">
        <v>0</v>
      </c>
      <c r="N199" t="n">
        <v>0</v>
      </c>
      <c r="O199" t="n">
        <v>0</v>
      </c>
      <c r="P199" t="n">
        <v>0</v>
      </c>
      <c r="Q199" t="n">
        <v>0</v>
      </c>
      <c r="R199" s="2" t="inlineStr"/>
    </row>
    <row r="200" ht="15" customHeight="1">
      <c r="A200" t="inlineStr">
        <is>
          <t>A 32984-2025</t>
        </is>
      </c>
      <c r="B200" s="1" t="n">
        <v>45839.93006944445</v>
      </c>
      <c r="C200" s="1" t="n">
        <v>46036</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32985-2025</t>
        </is>
      </c>
      <c r="B201" s="1" t="n">
        <v>45839.93033564815</v>
      </c>
      <c r="C201" s="1" t="n">
        <v>46036</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33158-2025</t>
        </is>
      </c>
      <c r="B202" s="1" t="n">
        <v>45840</v>
      </c>
      <c r="C202" s="1" t="n">
        <v>46036</v>
      </c>
      <c r="D202" t="inlineStr">
        <is>
          <t>DALARNAS LÄN</t>
        </is>
      </c>
      <c r="E202" t="inlineStr">
        <is>
          <t>ORSA</t>
        </is>
      </c>
      <c r="F202" t="inlineStr">
        <is>
          <t>Bergvik skog öst AB</t>
        </is>
      </c>
      <c r="G202" t="n">
        <v>2.7</v>
      </c>
      <c r="H202" t="n">
        <v>0</v>
      </c>
      <c r="I202" t="n">
        <v>0</v>
      </c>
      <c r="J202" t="n">
        <v>0</v>
      </c>
      <c r="K202" t="n">
        <v>0</v>
      </c>
      <c r="L202" t="n">
        <v>0</v>
      </c>
      <c r="M202" t="n">
        <v>0</v>
      </c>
      <c r="N202" t="n">
        <v>0</v>
      </c>
      <c r="O202" t="n">
        <v>0</v>
      </c>
      <c r="P202" t="n">
        <v>0</v>
      </c>
      <c r="Q202" t="n">
        <v>0</v>
      </c>
      <c r="R202" s="2" t="inlineStr"/>
    </row>
    <row r="203" ht="15" customHeight="1">
      <c r="A203" t="inlineStr">
        <is>
          <t>A 33394-2025</t>
        </is>
      </c>
      <c r="B203" s="1" t="n">
        <v>45841.41704861111</v>
      </c>
      <c r="C203" s="1" t="n">
        <v>46036</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33059-2025</t>
        </is>
      </c>
      <c r="B204" s="1" t="n">
        <v>45840.43072916667</v>
      </c>
      <c r="C204" s="1" t="n">
        <v>46036</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33209-2025</t>
        </is>
      </c>
      <c r="B205" s="1" t="n">
        <v>45840.62648148148</v>
      </c>
      <c r="C205" s="1" t="n">
        <v>46036</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45272-2022</t>
        </is>
      </c>
      <c r="B206" s="1" t="n">
        <v>44844</v>
      </c>
      <c r="C206" s="1" t="n">
        <v>46036</v>
      </c>
      <c r="D206" t="inlineStr">
        <is>
          <t>DALARNAS LÄN</t>
        </is>
      </c>
      <c r="E206" t="inlineStr">
        <is>
          <t>ORSA</t>
        </is>
      </c>
      <c r="G206" t="n">
        <v>0.3</v>
      </c>
      <c r="H206" t="n">
        <v>0</v>
      </c>
      <c r="I206" t="n">
        <v>0</v>
      </c>
      <c r="J206" t="n">
        <v>0</v>
      </c>
      <c r="K206" t="n">
        <v>0</v>
      </c>
      <c r="L206" t="n">
        <v>0</v>
      </c>
      <c r="M206" t="n">
        <v>0</v>
      </c>
      <c r="N206" t="n">
        <v>0</v>
      </c>
      <c r="O206" t="n">
        <v>0</v>
      </c>
      <c r="P206" t="n">
        <v>0</v>
      </c>
      <c r="Q206" t="n">
        <v>0</v>
      </c>
      <c r="R206" s="2" t="inlineStr"/>
    </row>
    <row r="207" ht="15" customHeight="1">
      <c r="A207" t="inlineStr">
        <is>
          <t>A 27240-2025</t>
        </is>
      </c>
      <c r="B207" s="1" t="n">
        <v>45812.45170138889</v>
      </c>
      <c r="C207" s="1" t="n">
        <v>46036</v>
      </c>
      <c r="D207" t="inlineStr">
        <is>
          <t>DALARNAS LÄN</t>
        </is>
      </c>
      <c r="E207" t="inlineStr">
        <is>
          <t>ORSA</t>
        </is>
      </c>
      <c r="F207" t="inlineStr">
        <is>
          <t>Bergvik skog öst AB</t>
        </is>
      </c>
      <c r="G207" t="n">
        <v>6.8</v>
      </c>
      <c r="H207" t="n">
        <v>0</v>
      </c>
      <c r="I207" t="n">
        <v>0</v>
      </c>
      <c r="J207" t="n">
        <v>0</v>
      </c>
      <c r="K207" t="n">
        <v>0</v>
      </c>
      <c r="L207" t="n">
        <v>0</v>
      </c>
      <c r="M207" t="n">
        <v>0</v>
      </c>
      <c r="N207" t="n">
        <v>0</v>
      </c>
      <c r="O207" t="n">
        <v>0</v>
      </c>
      <c r="P207" t="n">
        <v>0</v>
      </c>
      <c r="Q207" t="n">
        <v>0</v>
      </c>
      <c r="R207" s="2" t="inlineStr"/>
    </row>
    <row r="208" ht="15" customHeight="1">
      <c r="A208" t="inlineStr">
        <is>
          <t>A 33214-2025</t>
        </is>
      </c>
      <c r="B208" s="1" t="n">
        <v>45840.6295949074</v>
      </c>
      <c r="C208" s="1" t="n">
        <v>46036</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33374-2025</t>
        </is>
      </c>
      <c r="B209" s="1" t="n">
        <v>45841.39582175926</v>
      </c>
      <c r="C209" s="1" t="n">
        <v>46036</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42226-2025</t>
        </is>
      </c>
      <c r="B210" s="1" t="n">
        <v>45904.53831018518</v>
      </c>
      <c r="C210" s="1" t="n">
        <v>46036</v>
      </c>
      <c r="D210" t="inlineStr">
        <is>
          <t>DALARNAS LÄN</t>
        </is>
      </c>
      <c r="E210" t="inlineStr">
        <is>
          <t>ORSA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33265-2021</t>
        </is>
      </c>
      <c r="B211" s="1" t="n">
        <v>44377</v>
      </c>
      <c r="C211" s="1" t="n">
        <v>46036</v>
      </c>
      <c r="D211" t="inlineStr">
        <is>
          <t>DALARNAS LÄN</t>
        </is>
      </c>
      <c r="E211" t="inlineStr">
        <is>
          <t>ORSA</t>
        </is>
      </c>
      <c r="G211" t="n">
        <v>1.9</v>
      </c>
      <c r="H211" t="n">
        <v>0</v>
      </c>
      <c r="I211" t="n">
        <v>0</v>
      </c>
      <c r="J211" t="n">
        <v>0</v>
      </c>
      <c r="K211" t="n">
        <v>0</v>
      </c>
      <c r="L211" t="n">
        <v>0</v>
      </c>
      <c r="M211" t="n">
        <v>0</v>
      </c>
      <c r="N211" t="n">
        <v>0</v>
      </c>
      <c r="O211" t="n">
        <v>0</v>
      </c>
      <c r="P211" t="n">
        <v>0</v>
      </c>
      <c r="Q211" t="n">
        <v>0</v>
      </c>
      <c r="R211" s="2" t="inlineStr"/>
    </row>
    <row r="212" ht="15" customHeight="1">
      <c r="A212" t="inlineStr">
        <is>
          <t>A 33884-2025</t>
        </is>
      </c>
      <c r="B212" s="1" t="n">
        <v>45842.57081018519</v>
      </c>
      <c r="C212" s="1" t="n">
        <v>46036</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58842-2024</t>
        </is>
      </c>
      <c r="B213" s="1" t="n">
        <v>45636.3859837963</v>
      </c>
      <c r="C213" s="1" t="n">
        <v>46036</v>
      </c>
      <c r="D213" t="inlineStr">
        <is>
          <t>DALARNAS LÄN</t>
        </is>
      </c>
      <c r="E213" t="inlineStr">
        <is>
          <t>ORSA</t>
        </is>
      </c>
      <c r="G213" t="n">
        <v>2.8</v>
      </c>
      <c r="H213" t="n">
        <v>0</v>
      </c>
      <c r="I213" t="n">
        <v>0</v>
      </c>
      <c r="J213" t="n">
        <v>0</v>
      </c>
      <c r="K213" t="n">
        <v>0</v>
      </c>
      <c r="L213" t="n">
        <v>0</v>
      </c>
      <c r="M213" t="n">
        <v>0</v>
      </c>
      <c r="N213" t="n">
        <v>0</v>
      </c>
      <c r="O213" t="n">
        <v>0</v>
      </c>
      <c r="P213" t="n">
        <v>0</v>
      </c>
      <c r="Q213" t="n">
        <v>0</v>
      </c>
      <c r="R213" s="2" t="inlineStr"/>
    </row>
    <row r="214" ht="15" customHeight="1">
      <c r="A214" t="inlineStr">
        <is>
          <t>A 33951-2025</t>
        </is>
      </c>
      <c r="B214" s="1" t="n">
        <v>45842.66791666667</v>
      </c>
      <c r="C214" s="1" t="n">
        <v>46036</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33835-2025</t>
        </is>
      </c>
      <c r="B215" s="1" t="n">
        <v>45842.47619212963</v>
      </c>
      <c r="C215" s="1" t="n">
        <v>46036</v>
      </c>
      <c r="D215" t="inlineStr">
        <is>
          <t>DALARNAS LÄN</t>
        </is>
      </c>
      <c r="E215" t="inlineStr">
        <is>
          <t>ORSA</t>
        </is>
      </c>
      <c r="G215" t="n">
        <v>15.2</v>
      </c>
      <c r="H215" t="n">
        <v>0</v>
      </c>
      <c r="I215" t="n">
        <v>0</v>
      </c>
      <c r="J215" t="n">
        <v>0</v>
      </c>
      <c r="K215" t="n">
        <v>0</v>
      </c>
      <c r="L215" t="n">
        <v>0</v>
      </c>
      <c r="M215" t="n">
        <v>0</v>
      </c>
      <c r="N215" t="n">
        <v>0</v>
      </c>
      <c r="O215" t="n">
        <v>0</v>
      </c>
      <c r="P215" t="n">
        <v>0</v>
      </c>
      <c r="Q215" t="n">
        <v>0</v>
      </c>
      <c r="R215" s="2" t="inlineStr"/>
    </row>
    <row r="216" ht="15" customHeight="1">
      <c r="A216" t="inlineStr">
        <is>
          <t>A 33857-2025</t>
        </is>
      </c>
      <c r="B216" s="1" t="n">
        <v>45842.51953703703</v>
      </c>
      <c r="C216" s="1" t="n">
        <v>46036</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48447-2023</t>
        </is>
      </c>
      <c r="B217" s="1" t="n">
        <v>45206.39274305556</v>
      </c>
      <c r="C217" s="1" t="n">
        <v>46036</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23875-2025</t>
        </is>
      </c>
      <c r="B218" s="1" t="n">
        <v>45793.68313657407</v>
      </c>
      <c r="C218" s="1" t="n">
        <v>46036</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17508-2025</t>
        </is>
      </c>
      <c r="B219" s="1" t="n">
        <v>45757.55929398148</v>
      </c>
      <c r="C219" s="1" t="n">
        <v>46036</v>
      </c>
      <c r="D219" t="inlineStr">
        <is>
          <t>DALARNAS LÄN</t>
        </is>
      </c>
      <c r="E219" t="inlineStr">
        <is>
          <t>ORSA</t>
        </is>
      </c>
      <c r="F219" t="inlineStr">
        <is>
          <t>Bergvik skog öst AB</t>
        </is>
      </c>
      <c r="G219" t="n">
        <v>9.4</v>
      </c>
      <c r="H219" t="n">
        <v>0</v>
      </c>
      <c r="I219" t="n">
        <v>0</v>
      </c>
      <c r="J219" t="n">
        <v>0</v>
      </c>
      <c r="K219" t="n">
        <v>0</v>
      </c>
      <c r="L219" t="n">
        <v>0</v>
      </c>
      <c r="M219" t="n">
        <v>0</v>
      </c>
      <c r="N219" t="n">
        <v>0</v>
      </c>
      <c r="O219" t="n">
        <v>0</v>
      </c>
      <c r="P219" t="n">
        <v>0</v>
      </c>
      <c r="Q219" t="n">
        <v>0</v>
      </c>
      <c r="R219" s="2" t="inlineStr"/>
    </row>
    <row r="220" ht="15" customHeight="1">
      <c r="A220" t="inlineStr">
        <is>
          <t>A 34001-2025</t>
        </is>
      </c>
      <c r="B220" s="1" t="n">
        <v>45844</v>
      </c>
      <c r="C220" s="1" t="n">
        <v>46036</v>
      </c>
      <c r="D220" t="inlineStr">
        <is>
          <t>DALARNAS LÄN</t>
        </is>
      </c>
      <c r="E220" t="inlineStr">
        <is>
          <t>ORSA</t>
        </is>
      </c>
      <c r="F220" t="inlineStr">
        <is>
          <t>Bergvik skog öst AB</t>
        </is>
      </c>
      <c r="G220" t="n">
        <v>13.4</v>
      </c>
      <c r="H220" t="n">
        <v>0</v>
      </c>
      <c r="I220" t="n">
        <v>0</v>
      </c>
      <c r="J220" t="n">
        <v>0</v>
      </c>
      <c r="K220" t="n">
        <v>0</v>
      </c>
      <c r="L220" t="n">
        <v>0</v>
      </c>
      <c r="M220" t="n">
        <v>0</v>
      </c>
      <c r="N220" t="n">
        <v>0</v>
      </c>
      <c r="O220" t="n">
        <v>0</v>
      </c>
      <c r="P220" t="n">
        <v>0</v>
      </c>
      <c r="Q220" t="n">
        <v>0</v>
      </c>
      <c r="R220" s="2" t="inlineStr"/>
    </row>
    <row r="221" ht="15" customHeight="1">
      <c r="A221" t="inlineStr">
        <is>
          <t>A 3720-2023</t>
        </is>
      </c>
      <c r="B221" s="1" t="n">
        <v>44951.36688657408</v>
      </c>
      <c r="C221" s="1" t="n">
        <v>46036</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62342-2023</t>
        </is>
      </c>
      <c r="B222" s="1" t="n">
        <v>45267.9268287037</v>
      </c>
      <c r="C222" s="1" t="n">
        <v>46036</v>
      </c>
      <c r="D222" t="inlineStr">
        <is>
          <t>DALARNAS LÄN</t>
        </is>
      </c>
      <c r="E222" t="inlineStr">
        <is>
          <t>ORSA</t>
        </is>
      </c>
      <c r="G222" t="n">
        <v>2.5</v>
      </c>
      <c r="H222" t="n">
        <v>0</v>
      </c>
      <c r="I222" t="n">
        <v>0</v>
      </c>
      <c r="J222" t="n">
        <v>0</v>
      </c>
      <c r="K222" t="n">
        <v>0</v>
      </c>
      <c r="L222" t="n">
        <v>0</v>
      </c>
      <c r="M222" t="n">
        <v>0</v>
      </c>
      <c r="N222" t="n">
        <v>0</v>
      </c>
      <c r="O222" t="n">
        <v>0</v>
      </c>
      <c r="P222" t="n">
        <v>0</v>
      </c>
      <c r="Q222" t="n">
        <v>0</v>
      </c>
      <c r="R222" s="2" t="inlineStr"/>
    </row>
    <row r="223" ht="15" customHeight="1">
      <c r="A223" t="inlineStr">
        <is>
          <t>A 52044-2023</t>
        </is>
      </c>
      <c r="B223" s="1" t="n">
        <v>45223.6365625</v>
      </c>
      <c r="C223" s="1" t="n">
        <v>46036</v>
      </c>
      <c r="D223" t="inlineStr">
        <is>
          <t>DALARNAS LÄN</t>
        </is>
      </c>
      <c r="E223" t="inlineStr">
        <is>
          <t>ORSA</t>
        </is>
      </c>
      <c r="G223" t="n">
        <v>2.6</v>
      </c>
      <c r="H223" t="n">
        <v>0</v>
      </c>
      <c r="I223" t="n">
        <v>0</v>
      </c>
      <c r="J223" t="n">
        <v>0</v>
      </c>
      <c r="K223" t="n">
        <v>0</v>
      </c>
      <c r="L223" t="n">
        <v>0</v>
      </c>
      <c r="M223" t="n">
        <v>0</v>
      </c>
      <c r="N223" t="n">
        <v>0</v>
      </c>
      <c r="O223" t="n">
        <v>0</v>
      </c>
      <c r="P223" t="n">
        <v>0</v>
      </c>
      <c r="Q223" t="n">
        <v>0</v>
      </c>
      <c r="R223" s="2" t="inlineStr"/>
    </row>
    <row r="224" ht="15" customHeight="1">
      <c r="A224" t="inlineStr">
        <is>
          <t>A 33384-2022</t>
        </is>
      </c>
      <c r="B224" s="1" t="n">
        <v>44788</v>
      </c>
      <c r="C224" s="1" t="n">
        <v>46036</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34744-2025</t>
        </is>
      </c>
      <c r="B225" s="1" t="n">
        <v>45848.6125</v>
      </c>
      <c r="C225" s="1" t="n">
        <v>46036</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34769-2025</t>
        </is>
      </c>
      <c r="B226" s="1" t="n">
        <v>45848.6534837963</v>
      </c>
      <c r="C226" s="1" t="n">
        <v>46036</v>
      </c>
      <c r="D226" t="inlineStr">
        <is>
          <t>DALARNAS LÄN</t>
        </is>
      </c>
      <c r="E226" t="inlineStr">
        <is>
          <t>ORSA</t>
        </is>
      </c>
      <c r="G226" t="n">
        <v>0.4</v>
      </c>
      <c r="H226" t="n">
        <v>0</v>
      </c>
      <c r="I226" t="n">
        <v>0</v>
      </c>
      <c r="J226" t="n">
        <v>0</v>
      </c>
      <c r="K226" t="n">
        <v>0</v>
      </c>
      <c r="L226" t="n">
        <v>0</v>
      </c>
      <c r="M226" t="n">
        <v>0</v>
      </c>
      <c r="N226" t="n">
        <v>0</v>
      </c>
      <c r="O226" t="n">
        <v>0</v>
      </c>
      <c r="P226" t="n">
        <v>0</v>
      </c>
      <c r="Q226" t="n">
        <v>0</v>
      </c>
      <c r="R226" s="2" t="inlineStr"/>
    </row>
    <row r="227" ht="15" customHeight="1">
      <c r="A227" t="inlineStr">
        <is>
          <t>A 34777-2025</t>
        </is>
      </c>
      <c r="B227" s="1" t="n">
        <v>45848.66167824074</v>
      </c>
      <c r="C227" s="1" t="n">
        <v>46036</v>
      </c>
      <c r="D227" t="inlineStr">
        <is>
          <t>DALARNAS LÄN</t>
        </is>
      </c>
      <c r="E227" t="inlineStr">
        <is>
          <t>ORSA</t>
        </is>
      </c>
      <c r="G227" t="n">
        <v>0.4</v>
      </c>
      <c r="H227" t="n">
        <v>0</v>
      </c>
      <c r="I227" t="n">
        <v>0</v>
      </c>
      <c r="J227" t="n">
        <v>0</v>
      </c>
      <c r="K227" t="n">
        <v>0</v>
      </c>
      <c r="L227" t="n">
        <v>0</v>
      </c>
      <c r="M227" t="n">
        <v>0</v>
      </c>
      <c r="N227" t="n">
        <v>0</v>
      </c>
      <c r="O227" t="n">
        <v>0</v>
      </c>
      <c r="P227" t="n">
        <v>0</v>
      </c>
      <c r="Q227" t="n">
        <v>0</v>
      </c>
      <c r="R227" s="2" t="inlineStr"/>
    </row>
    <row r="228" ht="15" customHeight="1">
      <c r="A228" t="inlineStr">
        <is>
          <t>A 34794-2025</t>
        </is>
      </c>
      <c r="B228" s="1" t="n">
        <v>45848.73256944444</v>
      </c>
      <c r="C228" s="1" t="n">
        <v>46036</v>
      </c>
      <c r="D228" t="inlineStr">
        <is>
          <t>DALARNAS LÄN</t>
        </is>
      </c>
      <c r="E228" t="inlineStr">
        <is>
          <t>ORSA</t>
        </is>
      </c>
      <c r="G228" t="n">
        <v>2.3</v>
      </c>
      <c r="H228" t="n">
        <v>0</v>
      </c>
      <c r="I228" t="n">
        <v>0</v>
      </c>
      <c r="J228" t="n">
        <v>0</v>
      </c>
      <c r="K228" t="n">
        <v>0</v>
      </c>
      <c r="L228" t="n">
        <v>0</v>
      </c>
      <c r="M228" t="n">
        <v>0</v>
      </c>
      <c r="N228" t="n">
        <v>0</v>
      </c>
      <c r="O228" t="n">
        <v>0</v>
      </c>
      <c r="P228" t="n">
        <v>0</v>
      </c>
      <c r="Q228" t="n">
        <v>0</v>
      </c>
      <c r="R228" s="2" t="inlineStr"/>
    </row>
    <row r="229" ht="15" customHeight="1">
      <c r="A229" t="inlineStr">
        <is>
          <t>A 34779-2025</t>
        </is>
      </c>
      <c r="B229" s="1" t="n">
        <v>45848.66987268518</v>
      </c>
      <c r="C229" s="1" t="n">
        <v>46036</v>
      </c>
      <c r="D229" t="inlineStr">
        <is>
          <t>DALARNAS LÄN</t>
        </is>
      </c>
      <c r="E229" t="inlineStr">
        <is>
          <t>ORSA</t>
        </is>
      </c>
      <c r="G229" t="n">
        <v>0.6</v>
      </c>
      <c r="H229" t="n">
        <v>0</v>
      </c>
      <c r="I229" t="n">
        <v>0</v>
      </c>
      <c r="J229" t="n">
        <v>0</v>
      </c>
      <c r="K229" t="n">
        <v>0</v>
      </c>
      <c r="L229" t="n">
        <v>0</v>
      </c>
      <c r="M229" t="n">
        <v>0</v>
      </c>
      <c r="N229" t="n">
        <v>0</v>
      </c>
      <c r="O229" t="n">
        <v>0</v>
      </c>
      <c r="P229" t="n">
        <v>0</v>
      </c>
      <c r="Q229" t="n">
        <v>0</v>
      </c>
      <c r="R229" s="2" t="inlineStr"/>
    </row>
    <row r="230" ht="15" customHeight="1">
      <c r="A230" t="inlineStr">
        <is>
          <t>A 34753-2025</t>
        </is>
      </c>
      <c r="B230" s="1" t="n">
        <v>45848.62001157407</v>
      </c>
      <c r="C230" s="1" t="n">
        <v>46036</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34764-2025</t>
        </is>
      </c>
      <c r="B231" s="1" t="n">
        <v>45848.64788194445</v>
      </c>
      <c r="C231" s="1" t="n">
        <v>46036</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34781-2025</t>
        </is>
      </c>
      <c r="B232" s="1" t="n">
        <v>45848.67424768519</v>
      </c>
      <c r="C232" s="1" t="n">
        <v>46036</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34964-2025</t>
        </is>
      </c>
      <c r="B233" s="1" t="n">
        <v>45849.6330787037</v>
      </c>
      <c r="C233" s="1" t="n">
        <v>46036</v>
      </c>
      <c r="D233" t="inlineStr">
        <is>
          <t>DALARNAS LÄN</t>
        </is>
      </c>
      <c r="E233" t="inlineStr">
        <is>
          <t>ORSA</t>
        </is>
      </c>
      <c r="G233" t="n">
        <v>2.1</v>
      </c>
      <c r="H233" t="n">
        <v>0</v>
      </c>
      <c r="I233" t="n">
        <v>0</v>
      </c>
      <c r="J233" t="n">
        <v>0</v>
      </c>
      <c r="K233" t="n">
        <v>0</v>
      </c>
      <c r="L233" t="n">
        <v>0</v>
      </c>
      <c r="M233" t="n">
        <v>0</v>
      </c>
      <c r="N233" t="n">
        <v>0</v>
      </c>
      <c r="O233" t="n">
        <v>0</v>
      </c>
      <c r="P233" t="n">
        <v>0</v>
      </c>
      <c r="Q233" t="n">
        <v>0</v>
      </c>
      <c r="R233" s="2" t="inlineStr"/>
    </row>
    <row r="234" ht="15" customHeight="1">
      <c r="A234" t="inlineStr">
        <is>
          <t>A 10048-2023</t>
        </is>
      </c>
      <c r="B234" s="1" t="n">
        <v>44985.67237268519</v>
      </c>
      <c r="C234" s="1" t="n">
        <v>46036</v>
      </c>
      <c r="D234" t="inlineStr">
        <is>
          <t>DALARNAS LÄN</t>
        </is>
      </c>
      <c r="E234" t="inlineStr">
        <is>
          <t>ORSA</t>
        </is>
      </c>
      <c r="G234" t="n">
        <v>4.8</v>
      </c>
      <c r="H234" t="n">
        <v>0</v>
      </c>
      <c r="I234" t="n">
        <v>0</v>
      </c>
      <c r="J234" t="n">
        <v>0</v>
      </c>
      <c r="K234" t="n">
        <v>0</v>
      </c>
      <c r="L234" t="n">
        <v>0</v>
      </c>
      <c r="M234" t="n">
        <v>0</v>
      </c>
      <c r="N234" t="n">
        <v>0</v>
      </c>
      <c r="O234" t="n">
        <v>0</v>
      </c>
      <c r="P234" t="n">
        <v>0</v>
      </c>
      <c r="Q234" t="n">
        <v>0</v>
      </c>
      <c r="R234" s="2" t="inlineStr"/>
    </row>
    <row r="235" ht="15" customHeight="1">
      <c r="A235" t="inlineStr">
        <is>
          <t>A 44119-2025</t>
        </is>
      </c>
      <c r="B235" s="1" t="n">
        <v>45915.57738425926</v>
      </c>
      <c r="C235" s="1" t="n">
        <v>46036</v>
      </c>
      <c r="D235" t="inlineStr">
        <is>
          <t>DALARNAS LÄN</t>
        </is>
      </c>
      <c r="E235" t="inlineStr">
        <is>
          <t>ORSA</t>
        </is>
      </c>
      <c r="F235" t="inlineStr">
        <is>
          <t>Allmännings- och besparingsskogar</t>
        </is>
      </c>
      <c r="G235" t="n">
        <v>1.5</v>
      </c>
      <c r="H235" t="n">
        <v>0</v>
      </c>
      <c r="I235" t="n">
        <v>0</v>
      </c>
      <c r="J235" t="n">
        <v>0</v>
      </c>
      <c r="K235" t="n">
        <v>0</v>
      </c>
      <c r="L235" t="n">
        <v>0</v>
      </c>
      <c r="M235" t="n">
        <v>0</v>
      </c>
      <c r="N235" t="n">
        <v>0</v>
      </c>
      <c r="O235" t="n">
        <v>0</v>
      </c>
      <c r="P235" t="n">
        <v>0</v>
      </c>
      <c r="Q235" t="n">
        <v>0</v>
      </c>
      <c r="R235" s="2" t="inlineStr"/>
    </row>
    <row r="236" ht="15" customHeight="1">
      <c r="A236" t="inlineStr">
        <is>
          <t>A 44121-2025</t>
        </is>
      </c>
      <c r="B236" s="1" t="n">
        <v>45915.57792824074</v>
      </c>
      <c r="C236" s="1" t="n">
        <v>46036</v>
      </c>
      <c r="D236" t="inlineStr">
        <is>
          <t>DALARNAS LÄN</t>
        </is>
      </c>
      <c r="E236" t="inlineStr">
        <is>
          <t>ORSA</t>
        </is>
      </c>
      <c r="F236" t="inlineStr">
        <is>
          <t>Allmännings- och besparingsskogar</t>
        </is>
      </c>
      <c r="G236" t="n">
        <v>2.5</v>
      </c>
      <c r="H236" t="n">
        <v>0</v>
      </c>
      <c r="I236" t="n">
        <v>0</v>
      </c>
      <c r="J236" t="n">
        <v>0</v>
      </c>
      <c r="K236" t="n">
        <v>0</v>
      </c>
      <c r="L236" t="n">
        <v>0</v>
      </c>
      <c r="M236" t="n">
        <v>0</v>
      </c>
      <c r="N236" t="n">
        <v>0</v>
      </c>
      <c r="O236" t="n">
        <v>0</v>
      </c>
      <c r="P236" t="n">
        <v>0</v>
      </c>
      <c r="Q236" t="n">
        <v>0</v>
      </c>
      <c r="R236" s="2" t="inlineStr"/>
    </row>
    <row r="237" ht="15" customHeight="1">
      <c r="A237" t="inlineStr">
        <is>
          <t>A 51001-2021</t>
        </is>
      </c>
      <c r="B237" s="1" t="n">
        <v>44460.86221064815</v>
      </c>
      <c r="C237" s="1" t="n">
        <v>46036</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892-2024</t>
        </is>
      </c>
      <c r="B238" s="1" t="n">
        <v>45301</v>
      </c>
      <c r="C238" s="1" t="n">
        <v>46036</v>
      </c>
      <c r="D238" t="inlineStr">
        <is>
          <t>DALARNAS LÄN</t>
        </is>
      </c>
      <c r="E238" t="inlineStr">
        <is>
          <t>ORSA</t>
        </is>
      </c>
      <c r="G238" t="n">
        <v>1.2</v>
      </c>
      <c r="H238" t="n">
        <v>0</v>
      </c>
      <c r="I238" t="n">
        <v>0</v>
      </c>
      <c r="J238" t="n">
        <v>0</v>
      </c>
      <c r="K238" t="n">
        <v>0</v>
      </c>
      <c r="L238" t="n">
        <v>0</v>
      </c>
      <c r="M238" t="n">
        <v>0</v>
      </c>
      <c r="N238" t="n">
        <v>0</v>
      </c>
      <c r="O238" t="n">
        <v>0</v>
      </c>
      <c r="P238" t="n">
        <v>0</v>
      </c>
      <c r="Q238" t="n">
        <v>0</v>
      </c>
      <c r="R238" s="2" t="inlineStr"/>
    </row>
    <row r="239" ht="15" customHeight="1">
      <c r="A239" t="inlineStr">
        <is>
          <t>A 16585-2023</t>
        </is>
      </c>
      <c r="B239" s="1" t="n">
        <v>45030</v>
      </c>
      <c r="C239" s="1" t="n">
        <v>46036</v>
      </c>
      <c r="D239" t="inlineStr">
        <is>
          <t>DALARNAS LÄN</t>
        </is>
      </c>
      <c r="E239" t="inlineStr">
        <is>
          <t>ORSA</t>
        </is>
      </c>
      <c r="G239" t="n">
        <v>1</v>
      </c>
      <c r="H239" t="n">
        <v>0</v>
      </c>
      <c r="I239" t="n">
        <v>0</v>
      </c>
      <c r="J239" t="n">
        <v>0</v>
      </c>
      <c r="K239" t="n">
        <v>0</v>
      </c>
      <c r="L239" t="n">
        <v>0</v>
      </c>
      <c r="M239" t="n">
        <v>0</v>
      </c>
      <c r="N239" t="n">
        <v>0</v>
      </c>
      <c r="O239" t="n">
        <v>0</v>
      </c>
      <c r="P239" t="n">
        <v>0</v>
      </c>
      <c r="Q239" t="n">
        <v>0</v>
      </c>
      <c r="R239" s="2" t="inlineStr"/>
    </row>
    <row r="240" ht="15" customHeight="1">
      <c r="A240" t="inlineStr">
        <is>
          <t>A 44053-2025</t>
        </is>
      </c>
      <c r="B240" s="1" t="n">
        <v>45915.51239583334</v>
      </c>
      <c r="C240" s="1" t="n">
        <v>46036</v>
      </c>
      <c r="D240" t="inlineStr">
        <is>
          <t>DALARNAS LÄN</t>
        </is>
      </c>
      <c r="E240" t="inlineStr">
        <is>
          <t>ORSA</t>
        </is>
      </c>
      <c r="G240" t="n">
        <v>1.4</v>
      </c>
      <c r="H240" t="n">
        <v>0</v>
      </c>
      <c r="I240" t="n">
        <v>0</v>
      </c>
      <c r="J240" t="n">
        <v>0</v>
      </c>
      <c r="K240" t="n">
        <v>0</v>
      </c>
      <c r="L240" t="n">
        <v>0</v>
      </c>
      <c r="M240" t="n">
        <v>0</v>
      </c>
      <c r="N240" t="n">
        <v>0</v>
      </c>
      <c r="O240" t="n">
        <v>0</v>
      </c>
      <c r="P240" t="n">
        <v>0</v>
      </c>
      <c r="Q240" t="n">
        <v>0</v>
      </c>
      <c r="R240" s="2" t="inlineStr"/>
    </row>
    <row r="241" ht="15" customHeight="1">
      <c r="A241" t="inlineStr">
        <is>
          <t>A 43965-2025</t>
        </is>
      </c>
      <c r="B241" s="1" t="n">
        <v>45915.40027777778</v>
      </c>
      <c r="C241" s="1" t="n">
        <v>46036</v>
      </c>
      <c r="D241" t="inlineStr">
        <is>
          <t>DALARNAS LÄN</t>
        </is>
      </c>
      <c r="E241" t="inlineStr">
        <is>
          <t>ORSA</t>
        </is>
      </c>
      <c r="F241" t="inlineStr">
        <is>
          <t>Allmännings- och besparingsskogar</t>
        </is>
      </c>
      <c r="G241" t="n">
        <v>11.5</v>
      </c>
      <c r="H241" t="n">
        <v>0</v>
      </c>
      <c r="I241" t="n">
        <v>0</v>
      </c>
      <c r="J241" t="n">
        <v>0</v>
      </c>
      <c r="K241" t="n">
        <v>0</v>
      </c>
      <c r="L241" t="n">
        <v>0</v>
      </c>
      <c r="M241" t="n">
        <v>0</v>
      </c>
      <c r="N241" t="n">
        <v>0</v>
      </c>
      <c r="O241" t="n">
        <v>0</v>
      </c>
      <c r="P241" t="n">
        <v>0</v>
      </c>
      <c r="Q241" t="n">
        <v>0</v>
      </c>
      <c r="R241" s="2" t="inlineStr"/>
    </row>
    <row r="242" ht="15" customHeight="1">
      <c r="A242" t="inlineStr">
        <is>
          <t>A 44117-2025</t>
        </is>
      </c>
      <c r="B242" s="1" t="n">
        <v>45915.57677083334</v>
      </c>
      <c r="C242" s="1" t="n">
        <v>46036</v>
      </c>
      <c r="D242" t="inlineStr">
        <is>
          <t>DALARNAS LÄN</t>
        </is>
      </c>
      <c r="E242" t="inlineStr">
        <is>
          <t>ORSA</t>
        </is>
      </c>
      <c r="F242" t="inlineStr">
        <is>
          <t>Allmännings- och besparingsskogar</t>
        </is>
      </c>
      <c r="G242" t="n">
        <v>2.7</v>
      </c>
      <c r="H242" t="n">
        <v>0</v>
      </c>
      <c r="I242" t="n">
        <v>0</v>
      </c>
      <c r="J242" t="n">
        <v>0</v>
      </c>
      <c r="K242" t="n">
        <v>0</v>
      </c>
      <c r="L242" t="n">
        <v>0</v>
      </c>
      <c r="M242" t="n">
        <v>0</v>
      </c>
      <c r="N242" t="n">
        <v>0</v>
      </c>
      <c r="O242" t="n">
        <v>0</v>
      </c>
      <c r="P242" t="n">
        <v>0</v>
      </c>
      <c r="Q242" t="n">
        <v>0</v>
      </c>
      <c r="R242" s="2" t="inlineStr"/>
    </row>
    <row r="243" ht="15" customHeight="1">
      <c r="A243" t="inlineStr">
        <is>
          <t>A 44129-2025</t>
        </is>
      </c>
      <c r="B243" s="1" t="n">
        <v>45915.58392361111</v>
      </c>
      <c r="C243" s="1" t="n">
        <v>46036</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43967-2025</t>
        </is>
      </c>
      <c r="B244" s="1" t="n">
        <v>45915.40188657407</v>
      </c>
      <c r="C244" s="1" t="n">
        <v>46036</v>
      </c>
      <c r="D244" t="inlineStr">
        <is>
          <t>DALARNAS LÄN</t>
        </is>
      </c>
      <c r="E244" t="inlineStr">
        <is>
          <t>ORSA</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43778-2025</t>
        </is>
      </c>
      <c r="B245" s="1" t="n">
        <v>45912.5147337963</v>
      </c>
      <c r="C245" s="1" t="n">
        <v>46036</v>
      </c>
      <c r="D245" t="inlineStr">
        <is>
          <t>DALARNAS LÄN</t>
        </is>
      </c>
      <c r="E245" t="inlineStr">
        <is>
          <t>ORSA</t>
        </is>
      </c>
      <c r="G245" t="n">
        <v>1.1</v>
      </c>
      <c r="H245" t="n">
        <v>0</v>
      </c>
      <c r="I245" t="n">
        <v>0</v>
      </c>
      <c r="J245" t="n">
        <v>0</v>
      </c>
      <c r="K245" t="n">
        <v>0</v>
      </c>
      <c r="L245" t="n">
        <v>0</v>
      </c>
      <c r="M245" t="n">
        <v>0</v>
      </c>
      <c r="N245" t="n">
        <v>0</v>
      </c>
      <c r="O245" t="n">
        <v>0</v>
      </c>
      <c r="P245" t="n">
        <v>0</v>
      </c>
      <c r="Q245" t="n">
        <v>0</v>
      </c>
      <c r="R245" s="2" t="inlineStr"/>
    </row>
    <row r="246" ht="15" customHeight="1">
      <c r="A246" t="inlineStr">
        <is>
          <t>A 54519-2023</t>
        </is>
      </c>
      <c r="B246" s="1" t="n">
        <v>45233.58359953704</v>
      </c>
      <c r="C246" s="1" t="n">
        <v>46036</v>
      </c>
      <c r="D246" t="inlineStr">
        <is>
          <t>DALARNAS LÄN</t>
        </is>
      </c>
      <c r="E246" t="inlineStr">
        <is>
          <t>ORSA</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44531-2025</t>
        </is>
      </c>
      <c r="B247" s="1" t="n">
        <v>45916.77120370371</v>
      </c>
      <c r="C247" s="1" t="n">
        <v>46036</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13185-2022</t>
        </is>
      </c>
      <c r="B248" s="1" t="n">
        <v>44644.48491898148</v>
      </c>
      <c r="C248" s="1" t="n">
        <v>46036</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3168-2024</t>
        </is>
      </c>
      <c r="B249" s="1" t="n">
        <v>45316.62863425926</v>
      </c>
      <c r="C249" s="1" t="n">
        <v>46036</v>
      </c>
      <c r="D249" t="inlineStr">
        <is>
          <t>DALARNAS LÄN</t>
        </is>
      </c>
      <c r="E249" t="inlineStr">
        <is>
          <t>ORSA</t>
        </is>
      </c>
      <c r="G249" t="n">
        <v>0.7</v>
      </c>
      <c r="H249" t="n">
        <v>0</v>
      </c>
      <c r="I249" t="n">
        <v>0</v>
      </c>
      <c r="J249" t="n">
        <v>0</v>
      </c>
      <c r="K249" t="n">
        <v>0</v>
      </c>
      <c r="L249" t="n">
        <v>0</v>
      </c>
      <c r="M249" t="n">
        <v>0</v>
      </c>
      <c r="N249" t="n">
        <v>0</v>
      </c>
      <c r="O249" t="n">
        <v>0</v>
      </c>
      <c r="P249" t="n">
        <v>0</v>
      </c>
      <c r="Q249" t="n">
        <v>0</v>
      </c>
      <c r="R249" s="2" t="inlineStr"/>
    </row>
    <row r="250" ht="15" customHeight="1">
      <c r="A250" t="inlineStr">
        <is>
          <t>A 12101-2025</t>
        </is>
      </c>
      <c r="B250" s="1" t="n">
        <v>45729.33743055556</v>
      </c>
      <c r="C250" s="1" t="n">
        <v>46036</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35619-2025</t>
        </is>
      </c>
      <c r="B251" s="1" t="n">
        <v>45859</v>
      </c>
      <c r="C251" s="1" t="n">
        <v>46036</v>
      </c>
      <c r="D251" t="inlineStr">
        <is>
          <t>DALARNAS LÄN</t>
        </is>
      </c>
      <c r="E251" t="inlineStr">
        <is>
          <t>ORSA</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45155-2025</t>
        </is>
      </c>
      <c r="B252" s="1" t="n">
        <v>45919.47872685185</v>
      </c>
      <c r="C252" s="1" t="n">
        <v>46036</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35933-2025</t>
        </is>
      </c>
      <c r="B253" s="1" t="n">
        <v>45862.62653935186</v>
      </c>
      <c r="C253" s="1" t="n">
        <v>46036</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35935-2025</t>
        </is>
      </c>
      <c r="B254" s="1" t="n">
        <v>45862.6353125</v>
      </c>
      <c r="C254" s="1" t="n">
        <v>46036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33057-2025</t>
        </is>
      </c>
      <c r="B255" s="1" t="n">
        <v>45840</v>
      </c>
      <c r="C255" s="1" t="n">
        <v>46036</v>
      </c>
      <c r="D255" t="inlineStr">
        <is>
          <t>DALARNAS LÄN</t>
        </is>
      </c>
      <c r="E255" t="inlineStr">
        <is>
          <t>ORSA</t>
        </is>
      </c>
      <c r="F255" t="inlineStr">
        <is>
          <t>Bergvik skog öst AB</t>
        </is>
      </c>
      <c r="G255" t="n">
        <v>3.3</v>
      </c>
      <c r="H255" t="n">
        <v>0</v>
      </c>
      <c r="I255" t="n">
        <v>0</v>
      </c>
      <c r="J255" t="n">
        <v>0</v>
      </c>
      <c r="K255" t="n">
        <v>0</v>
      </c>
      <c r="L255" t="n">
        <v>0</v>
      </c>
      <c r="M255" t="n">
        <v>0</v>
      </c>
      <c r="N255" t="n">
        <v>0</v>
      </c>
      <c r="O255" t="n">
        <v>0</v>
      </c>
      <c r="P255" t="n">
        <v>0</v>
      </c>
      <c r="Q255" t="n">
        <v>0</v>
      </c>
      <c r="R255" s="2" t="inlineStr"/>
    </row>
    <row r="256" ht="15" customHeight="1">
      <c r="A256" t="inlineStr">
        <is>
          <t>A 35940-2025</t>
        </is>
      </c>
      <c r="B256" s="1" t="n">
        <v>45862.65081018519</v>
      </c>
      <c r="C256" s="1" t="n">
        <v>46036</v>
      </c>
      <c r="D256" t="inlineStr">
        <is>
          <t>DALARNAS LÄN</t>
        </is>
      </c>
      <c r="E256" t="inlineStr">
        <is>
          <t>ORSA</t>
        </is>
      </c>
      <c r="G256" t="n">
        <v>5.1</v>
      </c>
      <c r="H256" t="n">
        <v>0</v>
      </c>
      <c r="I256" t="n">
        <v>0</v>
      </c>
      <c r="J256" t="n">
        <v>0</v>
      </c>
      <c r="K256" t="n">
        <v>0</v>
      </c>
      <c r="L256" t="n">
        <v>0</v>
      </c>
      <c r="M256" t="n">
        <v>0</v>
      </c>
      <c r="N256" t="n">
        <v>0</v>
      </c>
      <c r="O256" t="n">
        <v>0</v>
      </c>
      <c r="P256" t="n">
        <v>0</v>
      </c>
      <c r="Q256" t="n">
        <v>0</v>
      </c>
      <c r="R256" s="2" t="inlineStr"/>
    </row>
    <row r="257" ht="15" customHeight="1">
      <c r="A257" t="inlineStr">
        <is>
          <t>A 35939-2025</t>
        </is>
      </c>
      <c r="B257" s="1" t="n">
        <v>45862.64581018518</v>
      </c>
      <c r="C257" s="1" t="n">
        <v>46036</v>
      </c>
      <c r="D257" t="inlineStr">
        <is>
          <t>DALARNAS LÄN</t>
        </is>
      </c>
      <c r="E257" t="inlineStr">
        <is>
          <t>ORSA</t>
        </is>
      </c>
      <c r="G257" t="n">
        <v>5.6</v>
      </c>
      <c r="H257" t="n">
        <v>0</v>
      </c>
      <c r="I257" t="n">
        <v>0</v>
      </c>
      <c r="J257" t="n">
        <v>0</v>
      </c>
      <c r="K257" t="n">
        <v>0</v>
      </c>
      <c r="L257" t="n">
        <v>0</v>
      </c>
      <c r="M257" t="n">
        <v>0</v>
      </c>
      <c r="N257" t="n">
        <v>0</v>
      </c>
      <c r="O257" t="n">
        <v>0</v>
      </c>
      <c r="P257" t="n">
        <v>0</v>
      </c>
      <c r="Q257" t="n">
        <v>0</v>
      </c>
      <c r="R257" s="2" t="inlineStr"/>
    </row>
    <row r="258" ht="15" customHeight="1">
      <c r="A258" t="inlineStr">
        <is>
          <t>A 50714-2023</t>
        </is>
      </c>
      <c r="B258" s="1" t="n">
        <v>45217.56513888889</v>
      </c>
      <c r="C258" s="1" t="n">
        <v>46036</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34125-2023</t>
        </is>
      </c>
      <c r="B259" s="1" t="n">
        <v>45135</v>
      </c>
      <c r="C259" s="1" t="n">
        <v>46036</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28974-2024</t>
        </is>
      </c>
      <c r="B260" s="1" t="n">
        <v>45481.45445601852</v>
      </c>
      <c r="C260" s="1" t="n">
        <v>46036</v>
      </c>
      <c r="D260" t="inlineStr">
        <is>
          <t>DALARNAS LÄN</t>
        </is>
      </c>
      <c r="E260" t="inlineStr">
        <is>
          <t>ORSA</t>
        </is>
      </c>
      <c r="F260" t="inlineStr">
        <is>
          <t>Bergvik skog öst AB</t>
        </is>
      </c>
      <c r="G260" t="n">
        <v>0.6</v>
      </c>
      <c r="H260" t="n">
        <v>0</v>
      </c>
      <c r="I260" t="n">
        <v>0</v>
      </c>
      <c r="J260" t="n">
        <v>0</v>
      </c>
      <c r="K260" t="n">
        <v>0</v>
      </c>
      <c r="L260" t="n">
        <v>0</v>
      </c>
      <c r="M260" t="n">
        <v>0</v>
      </c>
      <c r="N260" t="n">
        <v>0</v>
      </c>
      <c r="O260" t="n">
        <v>0</v>
      </c>
      <c r="P260" t="n">
        <v>0</v>
      </c>
      <c r="Q260" t="n">
        <v>0</v>
      </c>
      <c r="R260" s="2" t="inlineStr"/>
    </row>
    <row r="261" ht="15" customHeight="1">
      <c r="A261" t="inlineStr">
        <is>
          <t>A 51303-2023</t>
        </is>
      </c>
      <c r="B261" s="1" t="n">
        <v>45219.55793981482</v>
      </c>
      <c r="C261" s="1" t="n">
        <v>46036</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45031-2025</t>
        </is>
      </c>
      <c r="B262" s="1" t="n">
        <v>45918.70020833334</v>
      </c>
      <c r="C262" s="1" t="n">
        <v>46036</v>
      </c>
      <c r="D262" t="inlineStr">
        <is>
          <t>DALARNAS LÄN</t>
        </is>
      </c>
      <c r="E262" t="inlineStr">
        <is>
          <t>ORSA</t>
        </is>
      </c>
      <c r="G262" t="n">
        <v>5</v>
      </c>
      <c r="H262" t="n">
        <v>0</v>
      </c>
      <c r="I262" t="n">
        <v>0</v>
      </c>
      <c r="J262" t="n">
        <v>0</v>
      </c>
      <c r="K262" t="n">
        <v>0</v>
      </c>
      <c r="L262" t="n">
        <v>0</v>
      </c>
      <c r="M262" t="n">
        <v>0</v>
      </c>
      <c r="N262" t="n">
        <v>0</v>
      </c>
      <c r="O262" t="n">
        <v>0</v>
      </c>
      <c r="P262" t="n">
        <v>0</v>
      </c>
      <c r="Q262" t="n">
        <v>0</v>
      </c>
      <c r="R262" s="2" t="inlineStr"/>
    </row>
    <row r="263" ht="15" customHeight="1">
      <c r="A263" t="inlineStr">
        <is>
          <t>A 37770-2023</t>
        </is>
      </c>
      <c r="B263" s="1" t="n">
        <v>45159</v>
      </c>
      <c r="C263" s="1" t="n">
        <v>46036</v>
      </c>
      <c r="D263" t="inlineStr">
        <is>
          <t>DALARNAS LÄN</t>
        </is>
      </c>
      <c r="E263" t="inlineStr">
        <is>
          <t>ORSA</t>
        </is>
      </c>
      <c r="G263" t="n">
        <v>2.6</v>
      </c>
      <c r="H263" t="n">
        <v>0</v>
      </c>
      <c r="I263" t="n">
        <v>0</v>
      </c>
      <c r="J263" t="n">
        <v>0</v>
      </c>
      <c r="K263" t="n">
        <v>0</v>
      </c>
      <c r="L263" t="n">
        <v>0</v>
      </c>
      <c r="M263" t="n">
        <v>0</v>
      </c>
      <c r="N263" t="n">
        <v>0</v>
      </c>
      <c r="O263" t="n">
        <v>0</v>
      </c>
      <c r="P263" t="n">
        <v>0</v>
      </c>
      <c r="Q263" t="n">
        <v>0</v>
      </c>
      <c r="R263" s="2" t="inlineStr"/>
    </row>
    <row r="264" ht="15" customHeight="1">
      <c r="A264" t="inlineStr">
        <is>
          <t>A 18312-2024</t>
        </is>
      </c>
      <c r="B264" s="1" t="n">
        <v>45422.48225694444</v>
      </c>
      <c r="C264" s="1" t="n">
        <v>46036</v>
      </c>
      <c r="D264" t="inlineStr">
        <is>
          <t>DALARNAS LÄN</t>
        </is>
      </c>
      <c r="E264" t="inlineStr">
        <is>
          <t>ORSA</t>
        </is>
      </c>
      <c r="G264" t="n">
        <v>1.4</v>
      </c>
      <c r="H264" t="n">
        <v>0</v>
      </c>
      <c r="I264" t="n">
        <v>0</v>
      </c>
      <c r="J264" t="n">
        <v>0</v>
      </c>
      <c r="K264" t="n">
        <v>0</v>
      </c>
      <c r="L264" t="n">
        <v>0</v>
      </c>
      <c r="M264" t="n">
        <v>0</v>
      </c>
      <c r="N264" t="n">
        <v>0</v>
      </c>
      <c r="O264" t="n">
        <v>0</v>
      </c>
      <c r="P264" t="n">
        <v>0</v>
      </c>
      <c r="Q264" t="n">
        <v>0</v>
      </c>
      <c r="R264" s="2" t="inlineStr"/>
    </row>
    <row r="265" ht="15" customHeight="1">
      <c r="A265" t="inlineStr">
        <is>
          <t>A 45803-2025</t>
        </is>
      </c>
      <c r="B265" s="1" t="n">
        <v>45923.58125</v>
      </c>
      <c r="C265" s="1" t="n">
        <v>46036</v>
      </c>
      <c r="D265" t="inlineStr">
        <is>
          <t>DALARNAS LÄN</t>
        </is>
      </c>
      <c r="E265" t="inlineStr">
        <is>
          <t>ORSA</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36570-2025</t>
        </is>
      </c>
      <c r="B266" s="1" t="n">
        <v>45870.38728009259</v>
      </c>
      <c r="C266" s="1" t="n">
        <v>46036</v>
      </c>
      <c r="D266" t="inlineStr">
        <is>
          <t>DALARNAS LÄN</t>
        </is>
      </c>
      <c r="E266" t="inlineStr">
        <is>
          <t>ORSA</t>
        </is>
      </c>
      <c r="F266" t="inlineStr">
        <is>
          <t>Bergvik skog öst AB</t>
        </is>
      </c>
      <c r="G266" t="n">
        <v>2.2</v>
      </c>
      <c r="H266" t="n">
        <v>0</v>
      </c>
      <c r="I266" t="n">
        <v>0</v>
      </c>
      <c r="J266" t="n">
        <v>0</v>
      </c>
      <c r="K266" t="n">
        <v>0</v>
      </c>
      <c r="L266" t="n">
        <v>0</v>
      </c>
      <c r="M266" t="n">
        <v>0</v>
      </c>
      <c r="N266" t="n">
        <v>0</v>
      </c>
      <c r="O266" t="n">
        <v>0</v>
      </c>
      <c r="P266" t="n">
        <v>0</v>
      </c>
      <c r="Q266" t="n">
        <v>0</v>
      </c>
      <c r="R266" s="2" t="inlineStr"/>
    </row>
    <row r="267" ht="15" customHeight="1">
      <c r="A267" t="inlineStr">
        <is>
          <t>A 51574-2023</t>
        </is>
      </c>
      <c r="B267" s="1" t="n">
        <v>45222.45090277777</v>
      </c>
      <c r="C267" s="1" t="n">
        <v>46036</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36633-2025</t>
        </is>
      </c>
      <c r="B268" s="1" t="n">
        <v>45870</v>
      </c>
      <c r="C268" s="1" t="n">
        <v>46036</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46242-2025</t>
        </is>
      </c>
      <c r="B269" s="1" t="n">
        <v>45925.31876157408</v>
      </c>
      <c r="C269" s="1" t="n">
        <v>46036</v>
      </c>
      <c r="D269" t="inlineStr">
        <is>
          <t>DALARNAS LÄN</t>
        </is>
      </c>
      <c r="E269" t="inlineStr">
        <is>
          <t>ORSA</t>
        </is>
      </c>
      <c r="G269" t="n">
        <v>5.6</v>
      </c>
      <c r="H269" t="n">
        <v>0</v>
      </c>
      <c r="I269" t="n">
        <v>0</v>
      </c>
      <c r="J269" t="n">
        <v>0</v>
      </c>
      <c r="K269" t="n">
        <v>0</v>
      </c>
      <c r="L269" t="n">
        <v>0</v>
      </c>
      <c r="M269" t="n">
        <v>0</v>
      </c>
      <c r="N269" t="n">
        <v>0</v>
      </c>
      <c r="O269" t="n">
        <v>0</v>
      </c>
      <c r="P269" t="n">
        <v>0</v>
      </c>
      <c r="Q269" t="n">
        <v>0</v>
      </c>
      <c r="R269" s="2" t="inlineStr"/>
    </row>
    <row r="270" ht="15" customHeight="1">
      <c r="A270" t="inlineStr">
        <is>
          <t>A 46402-2025</t>
        </is>
      </c>
      <c r="B270" s="1" t="n">
        <v>45925.56084490741</v>
      </c>
      <c r="C270" s="1" t="n">
        <v>46036</v>
      </c>
      <c r="D270" t="inlineStr">
        <is>
          <t>DALARNAS LÄN</t>
        </is>
      </c>
      <c r="E270" t="inlineStr">
        <is>
          <t>ORSA</t>
        </is>
      </c>
      <c r="F270" t="inlineStr">
        <is>
          <t>Allmännings- och besparingsskogar</t>
        </is>
      </c>
      <c r="G270" t="n">
        <v>0.7</v>
      </c>
      <c r="H270" t="n">
        <v>0</v>
      </c>
      <c r="I270" t="n">
        <v>0</v>
      </c>
      <c r="J270" t="n">
        <v>0</v>
      </c>
      <c r="K270" t="n">
        <v>0</v>
      </c>
      <c r="L270" t="n">
        <v>0</v>
      </c>
      <c r="M270" t="n">
        <v>0</v>
      </c>
      <c r="N270" t="n">
        <v>0</v>
      </c>
      <c r="O270" t="n">
        <v>0</v>
      </c>
      <c r="P270" t="n">
        <v>0</v>
      </c>
      <c r="Q270" t="n">
        <v>0</v>
      </c>
      <c r="R270" s="2" t="inlineStr"/>
    </row>
    <row r="271" ht="15" customHeight="1">
      <c r="A271" t="inlineStr">
        <is>
          <t>A 72310-2021</t>
        </is>
      </c>
      <c r="B271" s="1" t="n">
        <v>44545</v>
      </c>
      <c r="C271" s="1" t="n">
        <v>46036</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46277-2025</t>
        </is>
      </c>
      <c r="B272" s="1" t="n">
        <v>45925.37229166667</v>
      </c>
      <c r="C272" s="1" t="n">
        <v>46036</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60803-2022</t>
        </is>
      </c>
      <c r="B273" s="1" t="n">
        <v>44914</v>
      </c>
      <c r="C273" s="1" t="n">
        <v>46036</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46279-2025</t>
        </is>
      </c>
      <c r="B274" s="1" t="n">
        <v>45925.37534722222</v>
      </c>
      <c r="C274" s="1" t="n">
        <v>46036</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46421-2025</t>
        </is>
      </c>
      <c r="B275" s="1" t="n">
        <v>45925.59936342593</v>
      </c>
      <c r="C275" s="1" t="n">
        <v>46036</v>
      </c>
      <c r="D275" t="inlineStr">
        <is>
          <t>DALARNAS LÄN</t>
        </is>
      </c>
      <c r="E275" t="inlineStr">
        <is>
          <t>ORSA</t>
        </is>
      </c>
      <c r="F275" t="inlineStr">
        <is>
          <t>Allmännings- och besparingsskogar</t>
        </is>
      </c>
      <c r="G275" t="n">
        <v>6.2</v>
      </c>
      <c r="H275" t="n">
        <v>0</v>
      </c>
      <c r="I275" t="n">
        <v>0</v>
      </c>
      <c r="J275" t="n">
        <v>0</v>
      </c>
      <c r="K275" t="n">
        <v>0</v>
      </c>
      <c r="L275" t="n">
        <v>0</v>
      </c>
      <c r="M275" t="n">
        <v>0</v>
      </c>
      <c r="N275" t="n">
        <v>0</v>
      </c>
      <c r="O275" t="n">
        <v>0</v>
      </c>
      <c r="P275" t="n">
        <v>0</v>
      </c>
      <c r="Q275" t="n">
        <v>0</v>
      </c>
      <c r="R275" s="2" t="inlineStr"/>
    </row>
    <row r="276" ht="15" customHeight="1">
      <c r="A276" t="inlineStr">
        <is>
          <t>A 46272-2025</t>
        </is>
      </c>
      <c r="B276" s="1" t="n">
        <v>45925.36988425926</v>
      </c>
      <c r="C276" s="1" t="n">
        <v>46036</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7628-2025</t>
        </is>
      </c>
      <c r="B277" s="1" t="n">
        <v>45705.73394675926</v>
      </c>
      <c r="C277" s="1" t="n">
        <v>46036</v>
      </c>
      <c r="D277" t="inlineStr">
        <is>
          <t>DALARNAS LÄN</t>
        </is>
      </c>
      <c r="E277" t="inlineStr">
        <is>
          <t>ORSA</t>
        </is>
      </c>
      <c r="G277" t="n">
        <v>1.8</v>
      </c>
      <c r="H277" t="n">
        <v>0</v>
      </c>
      <c r="I277" t="n">
        <v>0</v>
      </c>
      <c r="J277" t="n">
        <v>0</v>
      </c>
      <c r="K277" t="n">
        <v>0</v>
      </c>
      <c r="L277" t="n">
        <v>0</v>
      </c>
      <c r="M277" t="n">
        <v>0</v>
      </c>
      <c r="N277" t="n">
        <v>0</v>
      </c>
      <c r="O277" t="n">
        <v>0</v>
      </c>
      <c r="P277" t="n">
        <v>0</v>
      </c>
      <c r="Q277" t="n">
        <v>0</v>
      </c>
      <c r="R277" s="2" t="inlineStr"/>
    </row>
    <row r="278" ht="15" customHeight="1">
      <c r="A278" t="inlineStr">
        <is>
          <t>A 19505-2022</t>
        </is>
      </c>
      <c r="B278" s="1" t="n">
        <v>44693</v>
      </c>
      <c r="C278" s="1" t="n">
        <v>46036</v>
      </c>
      <c r="D278" t="inlineStr">
        <is>
          <t>DALARNAS LÄN</t>
        </is>
      </c>
      <c r="E278" t="inlineStr">
        <is>
          <t>ORSA</t>
        </is>
      </c>
      <c r="G278" t="n">
        <v>2.7</v>
      </c>
      <c r="H278" t="n">
        <v>0</v>
      </c>
      <c r="I278" t="n">
        <v>0</v>
      </c>
      <c r="J278" t="n">
        <v>0</v>
      </c>
      <c r="K278" t="n">
        <v>0</v>
      </c>
      <c r="L278" t="n">
        <v>0</v>
      </c>
      <c r="M278" t="n">
        <v>0</v>
      </c>
      <c r="N278" t="n">
        <v>0</v>
      </c>
      <c r="O278" t="n">
        <v>0</v>
      </c>
      <c r="P278" t="n">
        <v>0</v>
      </c>
      <c r="Q278" t="n">
        <v>0</v>
      </c>
      <c r="R278" s="2" t="inlineStr"/>
    </row>
    <row r="279" ht="15" customHeight="1">
      <c r="A279" t="inlineStr">
        <is>
          <t>A 61685-2024</t>
        </is>
      </c>
      <c r="B279" s="1" t="n">
        <v>45647.56972222222</v>
      </c>
      <c r="C279" s="1" t="n">
        <v>46036</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6939-2021</t>
        </is>
      </c>
      <c r="B280" s="1" t="n">
        <v>44237</v>
      </c>
      <c r="C280" s="1" t="n">
        <v>46036</v>
      </c>
      <c r="D280" t="inlineStr">
        <is>
          <t>DALARNAS LÄN</t>
        </is>
      </c>
      <c r="E280" t="inlineStr">
        <is>
          <t>ORSA</t>
        </is>
      </c>
      <c r="F280" t="inlineStr">
        <is>
          <t>Övriga statliga verk och myndigheter</t>
        </is>
      </c>
      <c r="G280" t="n">
        <v>1.5</v>
      </c>
      <c r="H280" t="n">
        <v>0</v>
      </c>
      <c r="I280" t="n">
        <v>0</v>
      </c>
      <c r="J280" t="n">
        <v>0</v>
      </c>
      <c r="K280" t="n">
        <v>0</v>
      </c>
      <c r="L280" t="n">
        <v>0</v>
      </c>
      <c r="M280" t="n">
        <v>0</v>
      </c>
      <c r="N280" t="n">
        <v>0</v>
      </c>
      <c r="O280" t="n">
        <v>0</v>
      </c>
      <c r="P280" t="n">
        <v>0</v>
      </c>
      <c r="Q280" t="n">
        <v>0</v>
      </c>
      <c r="R280" s="2" t="inlineStr"/>
    </row>
    <row r="281" ht="15" customHeight="1">
      <c r="A281" t="inlineStr">
        <is>
          <t>A 37181-2025</t>
        </is>
      </c>
      <c r="B281" s="1" t="n">
        <v>45875.62668981482</v>
      </c>
      <c r="C281" s="1" t="n">
        <v>46036</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34169-2023</t>
        </is>
      </c>
      <c r="B282" s="1" t="n">
        <v>45138.3071412037</v>
      </c>
      <c r="C282" s="1" t="n">
        <v>46036</v>
      </c>
      <c r="D282" t="inlineStr">
        <is>
          <t>DALARNAS LÄN</t>
        </is>
      </c>
      <c r="E282" t="inlineStr">
        <is>
          <t>ORSA</t>
        </is>
      </c>
      <c r="F282" t="inlineStr">
        <is>
          <t>Allmännings- och besparingsskogar</t>
        </is>
      </c>
      <c r="G282" t="n">
        <v>0.7</v>
      </c>
      <c r="H282" t="n">
        <v>0</v>
      </c>
      <c r="I282" t="n">
        <v>0</v>
      </c>
      <c r="J282" t="n">
        <v>0</v>
      </c>
      <c r="K282" t="n">
        <v>0</v>
      </c>
      <c r="L282" t="n">
        <v>0</v>
      </c>
      <c r="M282" t="n">
        <v>0</v>
      </c>
      <c r="N282" t="n">
        <v>0</v>
      </c>
      <c r="O282" t="n">
        <v>0</v>
      </c>
      <c r="P282" t="n">
        <v>0</v>
      </c>
      <c r="Q282" t="n">
        <v>0</v>
      </c>
      <c r="R282" s="2" t="inlineStr"/>
    </row>
    <row r="283" ht="15" customHeight="1">
      <c r="A283" t="inlineStr">
        <is>
          <t>A 7534-2025</t>
        </is>
      </c>
      <c r="B283" s="1" t="n">
        <v>45705.56287037037</v>
      </c>
      <c r="C283" s="1" t="n">
        <v>46036</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27146-2021</t>
        </is>
      </c>
      <c r="B284" s="1" t="n">
        <v>44350</v>
      </c>
      <c r="C284" s="1" t="n">
        <v>46036</v>
      </c>
      <c r="D284" t="inlineStr">
        <is>
          <t>DALARNAS LÄN</t>
        </is>
      </c>
      <c r="E284" t="inlineStr">
        <is>
          <t>ORSA</t>
        </is>
      </c>
      <c r="G284" t="n">
        <v>1</v>
      </c>
      <c r="H284" t="n">
        <v>0</v>
      </c>
      <c r="I284" t="n">
        <v>0</v>
      </c>
      <c r="J284" t="n">
        <v>0</v>
      </c>
      <c r="K284" t="n">
        <v>0</v>
      </c>
      <c r="L284" t="n">
        <v>0</v>
      </c>
      <c r="M284" t="n">
        <v>0</v>
      </c>
      <c r="N284" t="n">
        <v>0</v>
      </c>
      <c r="O284" t="n">
        <v>0</v>
      </c>
      <c r="P284" t="n">
        <v>0</v>
      </c>
      <c r="Q284" t="n">
        <v>0</v>
      </c>
      <c r="R284" s="2" t="inlineStr"/>
    </row>
    <row r="285" ht="15" customHeight="1">
      <c r="A285" t="inlineStr">
        <is>
          <t>A 37439-2025</t>
        </is>
      </c>
      <c r="B285" s="1" t="n">
        <v>45877.53644675926</v>
      </c>
      <c r="C285" s="1" t="n">
        <v>46036</v>
      </c>
      <c r="D285" t="inlineStr">
        <is>
          <t>DALARNAS LÄN</t>
        </is>
      </c>
      <c r="E285" t="inlineStr">
        <is>
          <t>ORSA</t>
        </is>
      </c>
      <c r="F285" t="inlineStr">
        <is>
          <t>Allmännings- och besparingsskogar</t>
        </is>
      </c>
      <c r="G285" t="n">
        <v>7.9</v>
      </c>
      <c r="H285" t="n">
        <v>0</v>
      </c>
      <c r="I285" t="n">
        <v>0</v>
      </c>
      <c r="J285" t="n">
        <v>0</v>
      </c>
      <c r="K285" t="n">
        <v>0</v>
      </c>
      <c r="L285" t="n">
        <v>0</v>
      </c>
      <c r="M285" t="n">
        <v>0</v>
      </c>
      <c r="N285" t="n">
        <v>0</v>
      </c>
      <c r="O285" t="n">
        <v>0</v>
      </c>
      <c r="P285" t="n">
        <v>0</v>
      </c>
      <c r="Q285" t="n">
        <v>0</v>
      </c>
      <c r="R285" s="2" t="inlineStr"/>
    </row>
    <row r="286" ht="15" customHeight="1">
      <c r="A286" t="inlineStr">
        <is>
          <t>A 58793-2023</t>
        </is>
      </c>
      <c r="B286" s="1" t="n">
        <v>45252.34607638889</v>
      </c>
      <c r="C286" s="1" t="n">
        <v>46036</v>
      </c>
      <c r="D286" t="inlineStr">
        <is>
          <t>DALARNAS LÄN</t>
        </is>
      </c>
      <c r="E286" t="inlineStr">
        <is>
          <t>ORSA</t>
        </is>
      </c>
      <c r="G286" t="n">
        <v>2.2</v>
      </c>
      <c r="H286" t="n">
        <v>0</v>
      </c>
      <c r="I286" t="n">
        <v>0</v>
      </c>
      <c r="J286" t="n">
        <v>0</v>
      </c>
      <c r="K286" t="n">
        <v>0</v>
      </c>
      <c r="L286" t="n">
        <v>0</v>
      </c>
      <c r="M286" t="n">
        <v>0</v>
      </c>
      <c r="N286" t="n">
        <v>0</v>
      </c>
      <c r="O286" t="n">
        <v>0</v>
      </c>
      <c r="P286" t="n">
        <v>0</v>
      </c>
      <c r="Q286" t="n">
        <v>0</v>
      </c>
      <c r="R286" s="2" t="inlineStr"/>
    </row>
    <row r="287" ht="15" customHeight="1">
      <c r="A287" t="inlineStr">
        <is>
          <t>A 36427-2023</t>
        </is>
      </c>
      <c r="B287" s="1" t="n">
        <v>45152.60333333333</v>
      </c>
      <c r="C287" s="1" t="n">
        <v>46036</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37457-2025</t>
        </is>
      </c>
      <c r="B288" s="1" t="n">
        <v>45877.56829861111</v>
      </c>
      <c r="C288" s="1" t="n">
        <v>46036</v>
      </c>
      <c r="D288" t="inlineStr">
        <is>
          <t>DALARNAS LÄN</t>
        </is>
      </c>
      <c r="E288" t="inlineStr">
        <is>
          <t>ORSA</t>
        </is>
      </c>
      <c r="F288" t="inlineStr">
        <is>
          <t>Allmännings- och besparingsskogar</t>
        </is>
      </c>
      <c r="G288" t="n">
        <v>6.5</v>
      </c>
      <c r="H288" t="n">
        <v>0</v>
      </c>
      <c r="I288" t="n">
        <v>0</v>
      </c>
      <c r="J288" t="n">
        <v>0</v>
      </c>
      <c r="K288" t="n">
        <v>0</v>
      </c>
      <c r="L288" t="n">
        <v>0</v>
      </c>
      <c r="M288" t="n">
        <v>0</v>
      </c>
      <c r="N288" t="n">
        <v>0</v>
      </c>
      <c r="O288" t="n">
        <v>0</v>
      </c>
      <c r="P288" t="n">
        <v>0</v>
      </c>
      <c r="Q288" t="n">
        <v>0</v>
      </c>
      <c r="R288" s="2" t="inlineStr"/>
    </row>
    <row r="289" ht="15" customHeight="1">
      <c r="A289" t="inlineStr">
        <is>
          <t>A 29025-2023</t>
        </is>
      </c>
      <c r="B289" s="1" t="n">
        <v>45104.70399305555</v>
      </c>
      <c r="C289" s="1" t="n">
        <v>46036</v>
      </c>
      <c r="D289" t="inlineStr">
        <is>
          <t>DALARNAS LÄN</t>
        </is>
      </c>
      <c r="E289" t="inlineStr">
        <is>
          <t>ORSA</t>
        </is>
      </c>
      <c r="G289" t="n">
        <v>6.6</v>
      </c>
      <c r="H289" t="n">
        <v>0</v>
      </c>
      <c r="I289" t="n">
        <v>0</v>
      </c>
      <c r="J289" t="n">
        <v>0</v>
      </c>
      <c r="K289" t="n">
        <v>0</v>
      </c>
      <c r="L289" t="n">
        <v>0</v>
      </c>
      <c r="M289" t="n">
        <v>0</v>
      </c>
      <c r="N289" t="n">
        <v>0</v>
      </c>
      <c r="O289" t="n">
        <v>0</v>
      </c>
      <c r="P289" t="n">
        <v>0</v>
      </c>
      <c r="Q289" t="n">
        <v>0</v>
      </c>
      <c r="R289" s="2" t="inlineStr"/>
    </row>
    <row r="290" ht="15" customHeight="1">
      <c r="A290" t="inlineStr">
        <is>
          <t>A 6171-2025</t>
        </is>
      </c>
      <c r="B290" s="1" t="n">
        <v>45698.43287037037</v>
      </c>
      <c r="C290" s="1" t="n">
        <v>46036</v>
      </c>
      <c r="D290" t="inlineStr">
        <is>
          <t>DALARNAS LÄN</t>
        </is>
      </c>
      <c r="E290" t="inlineStr">
        <is>
          <t>ORSA</t>
        </is>
      </c>
      <c r="G290" t="n">
        <v>11.1</v>
      </c>
      <c r="H290" t="n">
        <v>0</v>
      </c>
      <c r="I290" t="n">
        <v>0</v>
      </c>
      <c r="J290" t="n">
        <v>0</v>
      </c>
      <c r="K290" t="n">
        <v>0</v>
      </c>
      <c r="L290" t="n">
        <v>0</v>
      </c>
      <c r="M290" t="n">
        <v>0</v>
      </c>
      <c r="N290" t="n">
        <v>0</v>
      </c>
      <c r="O290" t="n">
        <v>0</v>
      </c>
      <c r="P290" t="n">
        <v>0</v>
      </c>
      <c r="Q290" t="n">
        <v>0</v>
      </c>
      <c r="R290" s="2" t="inlineStr"/>
    </row>
    <row r="291" ht="15" customHeight="1">
      <c r="A291" t="inlineStr">
        <is>
          <t>A 37496-2025</t>
        </is>
      </c>
      <c r="B291" s="1" t="n">
        <v>45877.64424768519</v>
      </c>
      <c r="C291" s="1" t="n">
        <v>46036</v>
      </c>
      <c r="D291" t="inlineStr">
        <is>
          <t>DALARNAS LÄN</t>
        </is>
      </c>
      <c r="E291" t="inlineStr">
        <is>
          <t>ORSA</t>
        </is>
      </c>
      <c r="F291" t="inlineStr">
        <is>
          <t>Bergvik skog öst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37445-2025</t>
        </is>
      </c>
      <c r="B292" s="1" t="n">
        <v>45877.54615740741</v>
      </c>
      <c r="C292" s="1" t="n">
        <v>46036</v>
      </c>
      <c r="D292" t="inlineStr">
        <is>
          <t>DALARNAS LÄN</t>
        </is>
      </c>
      <c r="E292" t="inlineStr">
        <is>
          <t>ORSA</t>
        </is>
      </c>
      <c r="F292" t="inlineStr">
        <is>
          <t>Bergvik skog öst AB</t>
        </is>
      </c>
      <c r="G292" t="n">
        <v>13.4</v>
      </c>
      <c r="H292" t="n">
        <v>0</v>
      </c>
      <c r="I292" t="n">
        <v>0</v>
      </c>
      <c r="J292" t="n">
        <v>0</v>
      </c>
      <c r="K292" t="n">
        <v>0</v>
      </c>
      <c r="L292" t="n">
        <v>0</v>
      </c>
      <c r="M292" t="n">
        <v>0</v>
      </c>
      <c r="N292" t="n">
        <v>0</v>
      </c>
      <c r="O292" t="n">
        <v>0</v>
      </c>
      <c r="P292" t="n">
        <v>0</v>
      </c>
      <c r="Q292" t="n">
        <v>0</v>
      </c>
      <c r="R292" s="2" t="inlineStr"/>
    </row>
    <row r="293" ht="15" customHeight="1">
      <c r="A293" t="inlineStr">
        <is>
          <t>A 37897-2025</t>
        </is>
      </c>
      <c r="B293" s="1" t="n">
        <v>45881.55274305555</v>
      </c>
      <c r="C293" s="1" t="n">
        <v>46036</v>
      </c>
      <c r="D293" t="inlineStr">
        <is>
          <t>DALARNAS LÄN</t>
        </is>
      </c>
      <c r="E293" t="inlineStr">
        <is>
          <t>ORSA</t>
        </is>
      </c>
      <c r="G293" t="n">
        <v>1.9</v>
      </c>
      <c r="H293" t="n">
        <v>0</v>
      </c>
      <c r="I293" t="n">
        <v>0</v>
      </c>
      <c r="J293" t="n">
        <v>0</v>
      </c>
      <c r="K293" t="n">
        <v>0</v>
      </c>
      <c r="L293" t="n">
        <v>0</v>
      </c>
      <c r="M293" t="n">
        <v>0</v>
      </c>
      <c r="N293" t="n">
        <v>0</v>
      </c>
      <c r="O293" t="n">
        <v>0</v>
      </c>
      <c r="P293" t="n">
        <v>0</v>
      </c>
      <c r="Q293" t="n">
        <v>0</v>
      </c>
      <c r="R293" s="2" t="inlineStr"/>
    </row>
    <row r="294" ht="15" customHeight="1">
      <c r="A294" t="inlineStr">
        <is>
          <t>A 37899-2025</t>
        </is>
      </c>
      <c r="B294" s="1" t="n">
        <v>45881.56083333334</v>
      </c>
      <c r="C294" s="1" t="n">
        <v>46036</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37893-2025</t>
        </is>
      </c>
      <c r="B295" s="1" t="n">
        <v>45881.54469907407</v>
      </c>
      <c r="C295" s="1" t="n">
        <v>46036</v>
      </c>
      <c r="D295" t="inlineStr">
        <is>
          <t>DALARNAS LÄN</t>
        </is>
      </c>
      <c r="E295" t="inlineStr">
        <is>
          <t>ORSA</t>
        </is>
      </c>
      <c r="G295" t="n">
        <v>4.4</v>
      </c>
      <c r="H295" t="n">
        <v>0</v>
      </c>
      <c r="I295" t="n">
        <v>0</v>
      </c>
      <c r="J295" t="n">
        <v>0</v>
      </c>
      <c r="K295" t="n">
        <v>0</v>
      </c>
      <c r="L295" t="n">
        <v>0</v>
      </c>
      <c r="M295" t="n">
        <v>0</v>
      </c>
      <c r="N295" t="n">
        <v>0</v>
      </c>
      <c r="O295" t="n">
        <v>0</v>
      </c>
      <c r="P295" t="n">
        <v>0</v>
      </c>
      <c r="Q295" t="n">
        <v>0</v>
      </c>
      <c r="R295" s="2" t="inlineStr"/>
    </row>
    <row r="296" ht="15" customHeight="1">
      <c r="A296" t="inlineStr">
        <is>
          <t>A 37906-2025</t>
        </is>
      </c>
      <c r="B296" s="1" t="n">
        <v>45881.56803240741</v>
      </c>
      <c r="C296" s="1" t="n">
        <v>46036</v>
      </c>
      <c r="D296" t="inlineStr">
        <is>
          <t>DALARNAS LÄN</t>
        </is>
      </c>
      <c r="E296" t="inlineStr">
        <is>
          <t>ORSA</t>
        </is>
      </c>
      <c r="G296" t="n">
        <v>1</v>
      </c>
      <c r="H296" t="n">
        <v>0</v>
      </c>
      <c r="I296" t="n">
        <v>0</v>
      </c>
      <c r="J296" t="n">
        <v>0</v>
      </c>
      <c r="K296" t="n">
        <v>0</v>
      </c>
      <c r="L296" t="n">
        <v>0</v>
      </c>
      <c r="M296" t="n">
        <v>0</v>
      </c>
      <c r="N296" t="n">
        <v>0</v>
      </c>
      <c r="O296" t="n">
        <v>0</v>
      </c>
      <c r="P296" t="n">
        <v>0</v>
      </c>
      <c r="Q296" t="n">
        <v>0</v>
      </c>
      <c r="R296" s="2" t="inlineStr"/>
    </row>
    <row r="297" ht="15" customHeight="1">
      <c r="A297" t="inlineStr">
        <is>
          <t>A 13209-2022</t>
        </is>
      </c>
      <c r="B297" s="1" t="n">
        <v>44644.56325231482</v>
      </c>
      <c r="C297" s="1" t="n">
        <v>46036</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26301-2023</t>
        </is>
      </c>
      <c r="B298" s="1" t="n">
        <v>45091</v>
      </c>
      <c r="C298" s="1" t="n">
        <v>46036</v>
      </c>
      <c r="D298" t="inlineStr">
        <is>
          <t>DALARNAS LÄN</t>
        </is>
      </c>
      <c r="E298" t="inlineStr">
        <is>
          <t>ORSA</t>
        </is>
      </c>
      <c r="G298" t="n">
        <v>1.7</v>
      </c>
      <c r="H298" t="n">
        <v>0</v>
      </c>
      <c r="I298" t="n">
        <v>0</v>
      </c>
      <c r="J298" t="n">
        <v>0</v>
      </c>
      <c r="K298" t="n">
        <v>0</v>
      </c>
      <c r="L298" t="n">
        <v>0</v>
      </c>
      <c r="M298" t="n">
        <v>0</v>
      </c>
      <c r="N298" t="n">
        <v>0</v>
      </c>
      <c r="O298" t="n">
        <v>0</v>
      </c>
      <c r="P298" t="n">
        <v>0</v>
      </c>
      <c r="Q298" t="n">
        <v>0</v>
      </c>
      <c r="R298" s="2" t="inlineStr"/>
    </row>
    <row r="299" ht="15" customHeight="1">
      <c r="A299" t="inlineStr">
        <is>
          <t>A 47953-2025</t>
        </is>
      </c>
      <c r="B299" s="1" t="n">
        <v>45932.5853125</v>
      </c>
      <c r="C299" s="1" t="n">
        <v>46036</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13236-2022</t>
        </is>
      </c>
      <c r="B300" s="1" t="n">
        <v>44644.61106481482</v>
      </c>
      <c r="C300" s="1" t="n">
        <v>46036</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8429-2024</t>
        </is>
      </c>
      <c r="B301" s="1" t="n">
        <v>45353.38880787037</v>
      </c>
      <c r="C301" s="1" t="n">
        <v>46036</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48546-2025</t>
        </is>
      </c>
      <c r="B302" s="1" t="n">
        <v>45936.42172453704</v>
      </c>
      <c r="C302" s="1" t="n">
        <v>46036</v>
      </c>
      <c r="D302" t="inlineStr">
        <is>
          <t>DALARNAS LÄN</t>
        </is>
      </c>
      <c r="E302" t="inlineStr">
        <is>
          <t>ORSA</t>
        </is>
      </c>
      <c r="F302" t="inlineStr">
        <is>
          <t>Allmännings- och besparingsskogar</t>
        </is>
      </c>
      <c r="G302" t="n">
        <v>6</v>
      </c>
      <c r="H302" t="n">
        <v>0</v>
      </c>
      <c r="I302" t="n">
        <v>0</v>
      </c>
      <c r="J302" t="n">
        <v>0</v>
      </c>
      <c r="K302" t="n">
        <v>0</v>
      </c>
      <c r="L302" t="n">
        <v>0</v>
      </c>
      <c r="M302" t="n">
        <v>0</v>
      </c>
      <c r="N302" t="n">
        <v>0</v>
      </c>
      <c r="O302" t="n">
        <v>0</v>
      </c>
      <c r="P302" t="n">
        <v>0</v>
      </c>
      <c r="Q302" t="n">
        <v>0</v>
      </c>
      <c r="R302" s="2" t="inlineStr"/>
    </row>
    <row r="303" ht="15" customHeight="1">
      <c r="A303" t="inlineStr">
        <is>
          <t>A 38588-2025</t>
        </is>
      </c>
      <c r="B303" s="1" t="n">
        <v>45884.47355324074</v>
      </c>
      <c r="C303" s="1" t="n">
        <v>46036</v>
      </c>
      <c r="D303" t="inlineStr">
        <is>
          <t>DALARNAS LÄN</t>
        </is>
      </c>
      <c r="E303" t="inlineStr">
        <is>
          <t>ORSA</t>
        </is>
      </c>
      <c r="F303" t="inlineStr">
        <is>
          <t>Bergvik skog öst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48584-2025</t>
        </is>
      </c>
      <c r="B304" s="1" t="n">
        <v>45936.45788194444</v>
      </c>
      <c r="C304" s="1" t="n">
        <v>46036</v>
      </c>
      <c r="D304" t="inlineStr">
        <is>
          <t>DALARNAS LÄN</t>
        </is>
      </c>
      <c r="E304" t="inlineStr">
        <is>
          <t>ORSA</t>
        </is>
      </c>
      <c r="F304" t="inlineStr">
        <is>
          <t>Allmännings- och besparingsskogar</t>
        </is>
      </c>
      <c r="G304" t="n">
        <v>10.3</v>
      </c>
      <c r="H304" t="n">
        <v>0</v>
      </c>
      <c r="I304" t="n">
        <v>0</v>
      </c>
      <c r="J304" t="n">
        <v>0</v>
      </c>
      <c r="K304" t="n">
        <v>0</v>
      </c>
      <c r="L304" t="n">
        <v>0</v>
      </c>
      <c r="M304" t="n">
        <v>0</v>
      </c>
      <c r="N304" t="n">
        <v>0</v>
      </c>
      <c r="O304" t="n">
        <v>0</v>
      </c>
      <c r="P304" t="n">
        <v>0</v>
      </c>
      <c r="Q304" t="n">
        <v>0</v>
      </c>
      <c r="R304" s="2" t="inlineStr"/>
    </row>
    <row r="305" ht="15" customHeight="1">
      <c r="A305" t="inlineStr">
        <is>
          <t>A 48504-2025</t>
        </is>
      </c>
      <c r="B305" s="1" t="n">
        <v>45936.38270833333</v>
      </c>
      <c r="C305" s="1" t="n">
        <v>46036</v>
      </c>
      <c r="D305" t="inlineStr">
        <is>
          <t>DALARNAS LÄN</t>
        </is>
      </c>
      <c r="E305" t="inlineStr">
        <is>
          <t>ORSA</t>
        </is>
      </c>
      <c r="F305" t="inlineStr">
        <is>
          <t>Allmännings- och besparingsskogar</t>
        </is>
      </c>
      <c r="G305" t="n">
        <v>6.1</v>
      </c>
      <c r="H305" t="n">
        <v>0</v>
      </c>
      <c r="I305" t="n">
        <v>0</v>
      </c>
      <c r="J305" t="n">
        <v>0</v>
      </c>
      <c r="K305" t="n">
        <v>0</v>
      </c>
      <c r="L305" t="n">
        <v>0</v>
      </c>
      <c r="M305" t="n">
        <v>0</v>
      </c>
      <c r="N305" t="n">
        <v>0</v>
      </c>
      <c r="O305" t="n">
        <v>0</v>
      </c>
      <c r="P305" t="n">
        <v>0</v>
      </c>
      <c r="Q305" t="n">
        <v>0</v>
      </c>
      <c r="R305" s="2" t="inlineStr"/>
    </row>
    <row r="306" ht="15" customHeight="1">
      <c r="A306" t="inlineStr">
        <is>
          <t>A 47579-2023</t>
        </is>
      </c>
      <c r="B306" s="1" t="n">
        <v>45203.42181712963</v>
      </c>
      <c r="C306" s="1" t="n">
        <v>46036</v>
      </c>
      <c r="D306" t="inlineStr">
        <is>
          <t>DALARNAS LÄN</t>
        </is>
      </c>
      <c r="E306" t="inlineStr">
        <is>
          <t>ORSA</t>
        </is>
      </c>
      <c r="G306" t="n">
        <v>2.9</v>
      </c>
      <c r="H306" t="n">
        <v>0</v>
      </c>
      <c r="I306" t="n">
        <v>0</v>
      </c>
      <c r="J306" t="n">
        <v>0</v>
      </c>
      <c r="K306" t="n">
        <v>0</v>
      </c>
      <c r="L306" t="n">
        <v>0</v>
      </c>
      <c r="M306" t="n">
        <v>0</v>
      </c>
      <c r="N306" t="n">
        <v>0</v>
      </c>
      <c r="O306" t="n">
        <v>0</v>
      </c>
      <c r="P306" t="n">
        <v>0</v>
      </c>
      <c r="Q306" t="n">
        <v>0</v>
      </c>
      <c r="R306" s="2" t="inlineStr"/>
    </row>
    <row r="307" ht="15" customHeight="1">
      <c r="A307" t="inlineStr">
        <is>
          <t>A 49517-2025</t>
        </is>
      </c>
      <c r="B307" s="1" t="n">
        <v>45939.38850694444</v>
      </c>
      <c r="C307" s="1" t="n">
        <v>46036</v>
      </c>
      <c r="D307" t="inlineStr">
        <is>
          <t>DALARNAS LÄN</t>
        </is>
      </c>
      <c r="E307" t="inlineStr">
        <is>
          <t>ORSA</t>
        </is>
      </c>
      <c r="F307" t="inlineStr">
        <is>
          <t>Bergvik skog öst AB</t>
        </is>
      </c>
      <c r="G307" t="n">
        <v>3.1</v>
      </c>
      <c r="H307" t="n">
        <v>0</v>
      </c>
      <c r="I307" t="n">
        <v>0</v>
      </c>
      <c r="J307" t="n">
        <v>0</v>
      </c>
      <c r="K307" t="n">
        <v>0</v>
      </c>
      <c r="L307" t="n">
        <v>0</v>
      </c>
      <c r="M307" t="n">
        <v>0</v>
      </c>
      <c r="N307" t="n">
        <v>0</v>
      </c>
      <c r="O307" t="n">
        <v>0</v>
      </c>
      <c r="P307" t="n">
        <v>0</v>
      </c>
      <c r="Q307" t="n">
        <v>0</v>
      </c>
      <c r="R307" s="2" t="inlineStr"/>
    </row>
    <row r="308" ht="15" customHeight="1">
      <c r="A308" t="inlineStr">
        <is>
          <t>A 49396-2025</t>
        </is>
      </c>
      <c r="B308" s="1" t="n">
        <v>45938.66181712963</v>
      </c>
      <c r="C308" s="1" t="n">
        <v>46036</v>
      </c>
      <c r="D308" t="inlineStr">
        <is>
          <t>DALARNAS LÄN</t>
        </is>
      </c>
      <c r="E308" t="inlineStr">
        <is>
          <t>ORSA</t>
        </is>
      </c>
      <c r="F308" t="inlineStr">
        <is>
          <t>Allmännings- och besparingsskogar</t>
        </is>
      </c>
      <c r="G308" t="n">
        <v>9.9</v>
      </c>
      <c r="H308" t="n">
        <v>0</v>
      </c>
      <c r="I308" t="n">
        <v>0</v>
      </c>
      <c r="J308" t="n">
        <v>0</v>
      </c>
      <c r="K308" t="n">
        <v>0</v>
      </c>
      <c r="L308" t="n">
        <v>0</v>
      </c>
      <c r="M308" t="n">
        <v>0</v>
      </c>
      <c r="N308" t="n">
        <v>0</v>
      </c>
      <c r="O308" t="n">
        <v>0</v>
      </c>
      <c r="P308" t="n">
        <v>0</v>
      </c>
      <c r="Q308" t="n">
        <v>0</v>
      </c>
      <c r="R308" s="2" t="inlineStr"/>
    </row>
    <row r="309" ht="15" customHeight="1">
      <c r="A309" t="inlineStr">
        <is>
          <t>A 15114-2025</t>
        </is>
      </c>
      <c r="B309" s="1" t="n">
        <v>45744.36232638889</v>
      </c>
      <c r="C309" s="1" t="n">
        <v>46036</v>
      </c>
      <c r="D309" t="inlineStr">
        <is>
          <t>DALARNAS LÄN</t>
        </is>
      </c>
      <c r="E309" t="inlineStr">
        <is>
          <t>ORSA</t>
        </is>
      </c>
      <c r="F309" t="inlineStr">
        <is>
          <t>Allmännings- och besparingsskogar</t>
        </is>
      </c>
      <c r="G309" t="n">
        <v>1.9</v>
      </c>
      <c r="H309" t="n">
        <v>0</v>
      </c>
      <c r="I309" t="n">
        <v>0</v>
      </c>
      <c r="J309" t="n">
        <v>0</v>
      </c>
      <c r="K309" t="n">
        <v>0</v>
      </c>
      <c r="L309" t="n">
        <v>0</v>
      </c>
      <c r="M309" t="n">
        <v>0</v>
      </c>
      <c r="N309" t="n">
        <v>0</v>
      </c>
      <c r="O309" t="n">
        <v>0</v>
      </c>
      <c r="P309" t="n">
        <v>0</v>
      </c>
      <c r="Q309" t="n">
        <v>0</v>
      </c>
      <c r="R309" s="2" t="inlineStr"/>
    </row>
    <row r="310" ht="15" customHeight="1">
      <c r="A310" t="inlineStr">
        <is>
          <t>A 49211-2025</t>
        </is>
      </c>
      <c r="B310" s="1" t="n">
        <v>45938.43825231482</v>
      </c>
      <c r="C310" s="1" t="n">
        <v>46036</v>
      </c>
      <c r="D310" t="inlineStr">
        <is>
          <t>DALARNAS LÄN</t>
        </is>
      </c>
      <c r="E310" t="inlineStr">
        <is>
          <t>ORSA</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38844-2025</t>
        </is>
      </c>
      <c r="B311" s="1" t="n">
        <v>45887.54075231482</v>
      </c>
      <c r="C311" s="1" t="n">
        <v>46036</v>
      </c>
      <c r="D311" t="inlineStr">
        <is>
          <t>DALARNAS LÄN</t>
        </is>
      </c>
      <c r="E311" t="inlineStr">
        <is>
          <t>ORSA</t>
        </is>
      </c>
      <c r="G311" t="n">
        <v>1.6</v>
      </c>
      <c r="H311" t="n">
        <v>0</v>
      </c>
      <c r="I311" t="n">
        <v>0</v>
      </c>
      <c r="J311" t="n">
        <v>0</v>
      </c>
      <c r="K311" t="n">
        <v>0</v>
      </c>
      <c r="L311" t="n">
        <v>0</v>
      </c>
      <c r="M311" t="n">
        <v>0</v>
      </c>
      <c r="N311" t="n">
        <v>0</v>
      </c>
      <c r="O311" t="n">
        <v>0</v>
      </c>
      <c r="P311" t="n">
        <v>0</v>
      </c>
      <c r="Q311" t="n">
        <v>0</v>
      </c>
      <c r="R311" s="2" t="inlineStr"/>
    </row>
    <row r="312" ht="15" customHeight="1">
      <c r="A312" t="inlineStr">
        <is>
          <t>A 6097-2025</t>
        </is>
      </c>
      <c r="B312" s="1" t="n">
        <v>45697</v>
      </c>
      <c r="C312" s="1" t="n">
        <v>46036</v>
      </c>
      <c r="D312" t="inlineStr">
        <is>
          <t>DALARNAS LÄN</t>
        </is>
      </c>
      <c r="E312" t="inlineStr">
        <is>
          <t>ORSA</t>
        </is>
      </c>
      <c r="G312" t="n">
        <v>11.1</v>
      </c>
      <c r="H312" t="n">
        <v>0</v>
      </c>
      <c r="I312" t="n">
        <v>0</v>
      </c>
      <c r="J312" t="n">
        <v>0</v>
      </c>
      <c r="K312" t="n">
        <v>0</v>
      </c>
      <c r="L312" t="n">
        <v>0</v>
      </c>
      <c r="M312" t="n">
        <v>0</v>
      </c>
      <c r="N312" t="n">
        <v>0</v>
      </c>
      <c r="O312" t="n">
        <v>0</v>
      </c>
      <c r="P312" t="n">
        <v>0</v>
      </c>
      <c r="Q312" t="n">
        <v>0</v>
      </c>
      <c r="R312" s="2" t="inlineStr"/>
    </row>
    <row r="313" ht="15" customHeight="1">
      <c r="A313" t="inlineStr">
        <is>
          <t>A 13580-2025</t>
        </is>
      </c>
      <c r="B313" s="1" t="n">
        <v>45736.58362268518</v>
      </c>
      <c r="C313" s="1" t="n">
        <v>46036</v>
      </c>
      <c r="D313" t="inlineStr">
        <is>
          <t>DALARNAS LÄN</t>
        </is>
      </c>
      <c r="E313" t="inlineStr">
        <is>
          <t>ORSA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63917-2023</t>
        </is>
      </c>
      <c r="B314" s="1" t="n">
        <v>45278</v>
      </c>
      <c r="C314" s="1" t="n">
        <v>46036</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51067-2025</t>
        </is>
      </c>
      <c r="B315" s="1" t="n">
        <v>45947.45381944445</v>
      </c>
      <c r="C315" s="1" t="n">
        <v>46036</v>
      </c>
      <c r="D315" t="inlineStr">
        <is>
          <t>DALARNAS LÄN</t>
        </is>
      </c>
      <c r="E315" t="inlineStr">
        <is>
          <t>ORSA</t>
        </is>
      </c>
      <c r="G315" t="n">
        <v>5.4</v>
      </c>
      <c r="H315" t="n">
        <v>0</v>
      </c>
      <c r="I315" t="n">
        <v>0</v>
      </c>
      <c r="J315" t="n">
        <v>0</v>
      </c>
      <c r="K315" t="n">
        <v>0</v>
      </c>
      <c r="L315" t="n">
        <v>0</v>
      </c>
      <c r="M315" t="n">
        <v>0</v>
      </c>
      <c r="N315" t="n">
        <v>0</v>
      </c>
      <c r="O315" t="n">
        <v>0</v>
      </c>
      <c r="P315" t="n">
        <v>0</v>
      </c>
      <c r="Q315" t="n">
        <v>0</v>
      </c>
      <c r="R315" s="2" t="inlineStr"/>
    </row>
    <row r="316" ht="15" customHeight="1">
      <c r="A316" t="inlineStr">
        <is>
          <t>A 51055-2025</t>
        </is>
      </c>
      <c r="B316" s="1" t="n">
        <v>45947.44309027777</v>
      </c>
      <c r="C316" s="1" t="n">
        <v>46036</v>
      </c>
      <c r="D316" t="inlineStr">
        <is>
          <t>DALARNAS LÄN</t>
        </is>
      </c>
      <c r="E316" t="inlineStr">
        <is>
          <t>ORSA</t>
        </is>
      </c>
      <c r="G316" t="n">
        <v>4.6</v>
      </c>
      <c r="H316" t="n">
        <v>0</v>
      </c>
      <c r="I316" t="n">
        <v>0</v>
      </c>
      <c r="J316" t="n">
        <v>0</v>
      </c>
      <c r="K316" t="n">
        <v>0</v>
      </c>
      <c r="L316" t="n">
        <v>0</v>
      </c>
      <c r="M316" t="n">
        <v>0</v>
      </c>
      <c r="N316" t="n">
        <v>0</v>
      </c>
      <c r="O316" t="n">
        <v>0</v>
      </c>
      <c r="P316" t="n">
        <v>0</v>
      </c>
      <c r="Q316" t="n">
        <v>0</v>
      </c>
      <c r="R316" s="2" t="inlineStr"/>
    </row>
    <row r="317" ht="15" customHeight="1">
      <c r="A317" t="inlineStr">
        <is>
          <t>A 16992-2025</t>
        </is>
      </c>
      <c r="B317" s="1" t="n">
        <v>45755.50215277778</v>
      </c>
      <c r="C317" s="1" t="n">
        <v>46036</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51049-2025</t>
        </is>
      </c>
      <c r="B318" s="1" t="n">
        <v>45947.43479166667</v>
      </c>
      <c r="C318" s="1" t="n">
        <v>46036</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51064-2025</t>
        </is>
      </c>
      <c r="B319" s="1" t="n">
        <v>45947.45197916667</v>
      </c>
      <c r="C319" s="1" t="n">
        <v>46036</v>
      </c>
      <c r="D319" t="inlineStr">
        <is>
          <t>DALARNAS LÄN</t>
        </is>
      </c>
      <c r="E319" t="inlineStr">
        <is>
          <t>ORSA</t>
        </is>
      </c>
      <c r="G319" t="n">
        <v>2.1</v>
      </c>
      <c r="H319" t="n">
        <v>0</v>
      </c>
      <c r="I319" t="n">
        <v>0</v>
      </c>
      <c r="J319" t="n">
        <v>0</v>
      </c>
      <c r="K319" t="n">
        <v>0</v>
      </c>
      <c r="L319" t="n">
        <v>0</v>
      </c>
      <c r="M319" t="n">
        <v>0</v>
      </c>
      <c r="N319" t="n">
        <v>0</v>
      </c>
      <c r="O319" t="n">
        <v>0</v>
      </c>
      <c r="P319" t="n">
        <v>0</v>
      </c>
      <c r="Q319" t="n">
        <v>0</v>
      </c>
      <c r="R319" s="2" t="inlineStr"/>
    </row>
    <row r="320" ht="15" customHeight="1">
      <c r="A320" t="inlineStr">
        <is>
          <t>A 51334-2025</t>
        </is>
      </c>
      <c r="B320" s="1" t="n">
        <v>45950.42378472222</v>
      </c>
      <c r="C320" s="1" t="n">
        <v>46036</v>
      </c>
      <c r="D320" t="inlineStr">
        <is>
          <t>DALARNAS LÄN</t>
        </is>
      </c>
      <c r="E320" t="inlineStr">
        <is>
          <t>ORSA</t>
        </is>
      </c>
      <c r="G320" t="n">
        <v>1.8</v>
      </c>
      <c r="H320" t="n">
        <v>0</v>
      </c>
      <c r="I320" t="n">
        <v>0</v>
      </c>
      <c r="J320" t="n">
        <v>0</v>
      </c>
      <c r="K320" t="n">
        <v>0</v>
      </c>
      <c r="L320" t="n">
        <v>0</v>
      </c>
      <c r="M320" t="n">
        <v>0</v>
      </c>
      <c r="N320" t="n">
        <v>0</v>
      </c>
      <c r="O320" t="n">
        <v>0</v>
      </c>
      <c r="P320" t="n">
        <v>0</v>
      </c>
      <c r="Q320" t="n">
        <v>0</v>
      </c>
      <c r="R320" s="2" t="inlineStr"/>
    </row>
    <row r="321" ht="15" customHeight="1">
      <c r="A321" t="inlineStr">
        <is>
          <t>A 51340-2025</t>
        </is>
      </c>
      <c r="B321" s="1" t="n">
        <v>45950.42725694444</v>
      </c>
      <c r="C321" s="1" t="n">
        <v>46036</v>
      </c>
      <c r="D321" t="inlineStr">
        <is>
          <t>DALARNAS LÄN</t>
        </is>
      </c>
      <c r="E321" t="inlineStr">
        <is>
          <t>ORSA</t>
        </is>
      </c>
      <c r="F321" t="inlineStr">
        <is>
          <t>Allmännings- och besparingsskogar</t>
        </is>
      </c>
      <c r="G321" t="n">
        <v>14.1</v>
      </c>
      <c r="H321" t="n">
        <v>0</v>
      </c>
      <c r="I321" t="n">
        <v>0</v>
      </c>
      <c r="J321" t="n">
        <v>0</v>
      </c>
      <c r="K321" t="n">
        <v>0</v>
      </c>
      <c r="L321" t="n">
        <v>0</v>
      </c>
      <c r="M321" t="n">
        <v>0</v>
      </c>
      <c r="N321" t="n">
        <v>0</v>
      </c>
      <c r="O321" t="n">
        <v>0</v>
      </c>
      <c r="P321" t="n">
        <v>0</v>
      </c>
      <c r="Q321" t="n">
        <v>0</v>
      </c>
      <c r="R321" s="2" t="inlineStr"/>
    </row>
    <row r="322" ht="15" customHeight="1">
      <c r="A322" t="inlineStr">
        <is>
          <t>A 48985-2023</t>
        </is>
      </c>
      <c r="B322" s="1" t="n">
        <v>45209.64077546296</v>
      </c>
      <c r="C322" s="1" t="n">
        <v>46036</v>
      </c>
      <c r="D322" t="inlineStr">
        <is>
          <t>DALARNAS LÄN</t>
        </is>
      </c>
      <c r="E322" t="inlineStr">
        <is>
          <t>ORSA</t>
        </is>
      </c>
      <c r="F322" t="inlineStr">
        <is>
          <t>Allmännings- och besparingsskogar</t>
        </is>
      </c>
      <c r="G322" t="n">
        <v>2.1</v>
      </c>
      <c r="H322" t="n">
        <v>0</v>
      </c>
      <c r="I322" t="n">
        <v>0</v>
      </c>
      <c r="J322" t="n">
        <v>0</v>
      </c>
      <c r="K322" t="n">
        <v>0</v>
      </c>
      <c r="L322" t="n">
        <v>0</v>
      </c>
      <c r="M322" t="n">
        <v>0</v>
      </c>
      <c r="N322" t="n">
        <v>0</v>
      </c>
      <c r="O322" t="n">
        <v>0</v>
      </c>
      <c r="P322" t="n">
        <v>0</v>
      </c>
      <c r="Q322" t="n">
        <v>0</v>
      </c>
      <c r="R322" s="2" t="inlineStr"/>
    </row>
    <row r="323" ht="15" customHeight="1">
      <c r="A323" t="inlineStr">
        <is>
          <t>A 51551-2025</t>
        </is>
      </c>
      <c r="B323" s="1" t="n">
        <v>45950.84275462963</v>
      </c>
      <c r="C323" s="1" t="n">
        <v>46036</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42346-2022</t>
        </is>
      </c>
      <c r="B324" s="1" t="n">
        <v>44831.35561342593</v>
      </c>
      <c r="C324" s="1" t="n">
        <v>46036</v>
      </c>
      <c r="D324" t="inlineStr">
        <is>
          <t>DALARNAS LÄN</t>
        </is>
      </c>
      <c r="E324" t="inlineStr">
        <is>
          <t>ORSA</t>
        </is>
      </c>
      <c r="G324" t="n">
        <v>2.4</v>
      </c>
      <c r="H324" t="n">
        <v>0</v>
      </c>
      <c r="I324" t="n">
        <v>0</v>
      </c>
      <c r="J324" t="n">
        <v>0</v>
      </c>
      <c r="K324" t="n">
        <v>0</v>
      </c>
      <c r="L324" t="n">
        <v>0</v>
      </c>
      <c r="M324" t="n">
        <v>0</v>
      </c>
      <c r="N324" t="n">
        <v>0</v>
      </c>
      <c r="O324" t="n">
        <v>0</v>
      </c>
      <c r="P324" t="n">
        <v>0</v>
      </c>
      <c r="Q324" t="n">
        <v>0</v>
      </c>
      <c r="R324" s="2" t="inlineStr"/>
    </row>
    <row r="325" ht="15" customHeight="1">
      <c r="A325" t="inlineStr">
        <is>
          <t>A 28451-2023</t>
        </is>
      </c>
      <c r="B325" s="1" t="n">
        <v>45103.33896990741</v>
      </c>
      <c r="C325" s="1" t="n">
        <v>46036</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60162-2025</t>
        </is>
      </c>
      <c r="B326" s="1" t="n">
        <v>45994.43018518519</v>
      </c>
      <c r="C326" s="1" t="n">
        <v>46036</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56942-2024</t>
        </is>
      </c>
      <c r="B327" s="1" t="n">
        <v>45628.62292824074</v>
      </c>
      <c r="C327" s="1" t="n">
        <v>46036</v>
      </c>
      <c r="D327" t="inlineStr">
        <is>
          <t>DALARNAS LÄN</t>
        </is>
      </c>
      <c r="E327" t="inlineStr">
        <is>
          <t>ORSA</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52485-2025</t>
        </is>
      </c>
      <c r="B328" s="1" t="n">
        <v>45954.47804398148</v>
      </c>
      <c r="C328" s="1" t="n">
        <v>46036</v>
      </c>
      <c r="D328" t="inlineStr">
        <is>
          <t>DALARNAS LÄN</t>
        </is>
      </c>
      <c r="E328" t="inlineStr">
        <is>
          <t>ORSA</t>
        </is>
      </c>
      <c r="G328" t="n">
        <v>1.7</v>
      </c>
      <c r="H328" t="n">
        <v>0</v>
      </c>
      <c r="I328" t="n">
        <v>0</v>
      </c>
      <c r="J328" t="n">
        <v>0</v>
      </c>
      <c r="K328" t="n">
        <v>0</v>
      </c>
      <c r="L328" t="n">
        <v>0</v>
      </c>
      <c r="M328" t="n">
        <v>0</v>
      </c>
      <c r="N328" t="n">
        <v>0</v>
      </c>
      <c r="O328" t="n">
        <v>0</v>
      </c>
      <c r="P328" t="n">
        <v>0</v>
      </c>
      <c r="Q328" t="n">
        <v>0</v>
      </c>
      <c r="R328" s="2" t="inlineStr"/>
    </row>
    <row r="329" ht="15" customHeight="1">
      <c r="A329" t="inlineStr">
        <is>
          <t>A 52486-2025</t>
        </is>
      </c>
      <c r="B329" s="1" t="n">
        <v>45954.47844907407</v>
      </c>
      <c r="C329" s="1" t="n">
        <v>46036</v>
      </c>
      <c r="D329" t="inlineStr">
        <is>
          <t>DALARNAS LÄN</t>
        </is>
      </c>
      <c r="E329" t="inlineStr">
        <is>
          <t>ORSA</t>
        </is>
      </c>
      <c r="G329" t="n">
        <v>2.3</v>
      </c>
      <c r="H329" t="n">
        <v>0</v>
      </c>
      <c r="I329" t="n">
        <v>0</v>
      </c>
      <c r="J329" t="n">
        <v>0</v>
      </c>
      <c r="K329" t="n">
        <v>0</v>
      </c>
      <c r="L329" t="n">
        <v>0</v>
      </c>
      <c r="M329" t="n">
        <v>0</v>
      </c>
      <c r="N329" t="n">
        <v>0</v>
      </c>
      <c r="O329" t="n">
        <v>0</v>
      </c>
      <c r="P329" t="n">
        <v>0</v>
      </c>
      <c r="Q329" t="n">
        <v>0</v>
      </c>
      <c r="R329" s="2" t="inlineStr"/>
    </row>
    <row r="330" ht="15" customHeight="1">
      <c r="A330" t="inlineStr">
        <is>
          <t>A 60945-2025</t>
        </is>
      </c>
      <c r="B330" s="1" t="n">
        <v>45999.64672453704</v>
      </c>
      <c r="C330" s="1" t="n">
        <v>46036</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60844-2025</t>
        </is>
      </c>
      <c r="B331" s="1" t="n">
        <v>45999.4887037037</v>
      </c>
      <c r="C331" s="1" t="n">
        <v>46036</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52702-2025</t>
        </is>
      </c>
      <c r="B332" s="1" t="n">
        <v>45956.86853009259</v>
      </c>
      <c r="C332" s="1" t="n">
        <v>46036</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52949-2025</t>
        </is>
      </c>
      <c r="B333" s="1" t="n">
        <v>45954</v>
      </c>
      <c r="C333" s="1" t="n">
        <v>46036</v>
      </c>
      <c r="D333" t="inlineStr">
        <is>
          <t>DALARNAS LÄN</t>
        </is>
      </c>
      <c r="E333" t="inlineStr">
        <is>
          <t>ORSA</t>
        </is>
      </c>
      <c r="G333" t="n">
        <v>2.2</v>
      </c>
      <c r="H333" t="n">
        <v>0</v>
      </c>
      <c r="I333" t="n">
        <v>0</v>
      </c>
      <c r="J333" t="n">
        <v>0</v>
      </c>
      <c r="K333" t="n">
        <v>0</v>
      </c>
      <c r="L333" t="n">
        <v>0</v>
      </c>
      <c r="M333" t="n">
        <v>0</v>
      </c>
      <c r="N333" t="n">
        <v>0</v>
      </c>
      <c r="O333" t="n">
        <v>0</v>
      </c>
      <c r="P333" t="n">
        <v>0</v>
      </c>
      <c r="Q333" t="n">
        <v>0</v>
      </c>
      <c r="R333" s="2" t="inlineStr"/>
    </row>
    <row r="334" ht="15" customHeight="1">
      <c r="A334" t="inlineStr">
        <is>
          <t>A 16777-2024</t>
        </is>
      </c>
      <c r="B334" s="1" t="n">
        <v>45411</v>
      </c>
      <c r="C334" s="1" t="n">
        <v>46036</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7626-2025</t>
        </is>
      </c>
      <c r="B335" s="1" t="n">
        <v>45705.72799768519</v>
      </c>
      <c r="C335" s="1" t="n">
        <v>46036</v>
      </c>
      <c r="D335" t="inlineStr">
        <is>
          <t>DALARNAS LÄN</t>
        </is>
      </c>
      <c r="E335" t="inlineStr">
        <is>
          <t>ORSA</t>
        </is>
      </c>
      <c r="G335" t="n">
        <v>15.5</v>
      </c>
      <c r="H335" t="n">
        <v>0</v>
      </c>
      <c r="I335" t="n">
        <v>0</v>
      </c>
      <c r="J335" t="n">
        <v>0</v>
      </c>
      <c r="K335" t="n">
        <v>0</v>
      </c>
      <c r="L335" t="n">
        <v>0</v>
      </c>
      <c r="M335" t="n">
        <v>0</v>
      </c>
      <c r="N335" t="n">
        <v>0</v>
      </c>
      <c r="O335" t="n">
        <v>0</v>
      </c>
      <c r="P335" t="n">
        <v>0</v>
      </c>
      <c r="Q335" t="n">
        <v>0</v>
      </c>
      <c r="R335" s="2" t="inlineStr"/>
    </row>
    <row r="336" ht="15" customHeight="1">
      <c r="A336" t="inlineStr">
        <is>
          <t>A 53102-2021</t>
        </is>
      </c>
      <c r="B336" s="1" t="n">
        <v>44467</v>
      </c>
      <c r="C336" s="1" t="n">
        <v>46036</v>
      </c>
      <c r="D336" t="inlineStr">
        <is>
          <t>DALARNAS LÄN</t>
        </is>
      </c>
      <c r="E336" t="inlineStr">
        <is>
          <t>ORSA</t>
        </is>
      </c>
      <c r="G336" t="n">
        <v>1.4</v>
      </c>
      <c r="H336" t="n">
        <v>0</v>
      </c>
      <c r="I336" t="n">
        <v>0</v>
      </c>
      <c r="J336" t="n">
        <v>0</v>
      </c>
      <c r="K336" t="n">
        <v>0</v>
      </c>
      <c r="L336" t="n">
        <v>0</v>
      </c>
      <c r="M336" t="n">
        <v>0</v>
      </c>
      <c r="N336" t="n">
        <v>0</v>
      </c>
      <c r="O336" t="n">
        <v>0</v>
      </c>
      <c r="P336" t="n">
        <v>0</v>
      </c>
      <c r="Q336" t="n">
        <v>0</v>
      </c>
      <c r="R336" s="2" t="inlineStr"/>
    </row>
    <row r="337" ht="15" customHeight="1">
      <c r="A337" t="inlineStr">
        <is>
          <t>A 6047-2023</t>
        </is>
      </c>
      <c r="B337" s="1" t="n">
        <v>44964</v>
      </c>
      <c r="C337" s="1" t="n">
        <v>46036</v>
      </c>
      <c r="D337" t="inlineStr">
        <is>
          <t>DALARNAS LÄN</t>
        </is>
      </c>
      <c r="E337" t="inlineStr">
        <is>
          <t>ORSA</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60837-2025</t>
        </is>
      </c>
      <c r="B338" s="1" t="n">
        <v>45999.47630787037</v>
      </c>
      <c r="C338" s="1" t="n">
        <v>46036</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52686-2025</t>
        </is>
      </c>
      <c r="B339" s="1" t="n">
        <v>45956.3562037037</v>
      </c>
      <c r="C339" s="1" t="n">
        <v>46036</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17521-2025</t>
        </is>
      </c>
      <c r="B340" s="1" t="n">
        <v>45757.57952546296</v>
      </c>
      <c r="C340" s="1" t="n">
        <v>46036</v>
      </c>
      <c r="D340" t="inlineStr">
        <is>
          <t>DALARNAS LÄN</t>
        </is>
      </c>
      <c r="E340" t="inlineStr">
        <is>
          <t>ORSA</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3166-2024</t>
        </is>
      </c>
      <c r="B341" s="1" t="n">
        <v>45316.62592592592</v>
      </c>
      <c r="C341" s="1" t="n">
        <v>46036</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56887-2024</t>
        </is>
      </c>
      <c r="B342" s="1" t="n">
        <v>45628.57388888889</v>
      </c>
      <c r="C342" s="1" t="n">
        <v>46036</v>
      </c>
      <c r="D342" t="inlineStr">
        <is>
          <t>DALARNAS LÄN</t>
        </is>
      </c>
      <c r="E342" t="inlineStr">
        <is>
          <t>ORSA</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53573-2025</t>
        </is>
      </c>
      <c r="B343" s="1" t="n">
        <v>45960.41716435185</v>
      </c>
      <c r="C343" s="1" t="n">
        <v>46036</v>
      </c>
      <c r="D343" t="inlineStr">
        <is>
          <t>DALARNAS LÄN</t>
        </is>
      </c>
      <c r="E343" t="inlineStr">
        <is>
          <t>ORSA</t>
        </is>
      </c>
      <c r="F343" t="inlineStr">
        <is>
          <t>Bergvik skog öst AB</t>
        </is>
      </c>
      <c r="G343" t="n">
        <v>2.3</v>
      </c>
      <c r="H343" t="n">
        <v>0</v>
      </c>
      <c r="I343" t="n">
        <v>0</v>
      </c>
      <c r="J343" t="n">
        <v>0</v>
      </c>
      <c r="K343" t="n">
        <v>0</v>
      </c>
      <c r="L343" t="n">
        <v>0</v>
      </c>
      <c r="M343" t="n">
        <v>0</v>
      </c>
      <c r="N343" t="n">
        <v>0</v>
      </c>
      <c r="O343" t="n">
        <v>0</v>
      </c>
      <c r="P343" t="n">
        <v>0</v>
      </c>
      <c r="Q343" t="n">
        <v>0</v>
      </c>
      <c r="R343" s="2" t="inlineStr"/>
    </row>
    <row r="344" ht="15" customHeight="1">
      <c r="A344" t="inlineStr">
        <is>
          <t>A 53495-2025</t>
        </is>
      </c>
      <c r="B344" s="1" t="n">
        <v>45960.32577546296</v>
      </c>
      <c r="C344" s="1" t="n">
        <v>46036</v>
      </c>
      <c r="D344" t="inlineStr">
        <is>
          <t>DALARNAS LÄN</t>
        </is>
      </c>
      <c r="E344" t="inlineStr">
        <is>
          <t>ORSA</t>
        </is>
      </c>
      <c r="G344" t="n">
        <v>3.6</v>
      </c>
      <c r="H344" t="n">
        <v>0</v>
      </c>
      <c r="I344" t="n">
        <v>0</v>
      </c>
      <c r="J344" t="n">
        <v>0</v>
      </c>
      <c r="K344" t="n">
        <v>0</v>
      </c>
      <c r="L344" t="n">
        <v>0</v>
      </c>
      <c r="M344" t="n">
        <v>0</v>
      </c>
      <c r="N344" t="n">
        <v>0</v>
      </c>
      <c r="O344" t="n">
        <v>0</v>
      </c>
      <c r="P344" t="n">
        <v>0</v>
      </c>
      <c r="Q344" t="n">
        <v>0</v>
      </c>
      <c r="R344" s="2" t="inlineStr"/>
    </row>
    <row r="345" ht="15" customHeight="1">
      <c r="A345" t="inlineStr">
        <is>
          <t>A 2563-2025</t>
        </is>
      </c>
      <c r="B345" s="1" t="n">
        <v>45674.65692129629</v>
      </c>
      <c r="C345" s="1" t="n">
        <v>46036</v>
      </c>
      <c r="D345" t="inlineStr">
        <is>
          <t>DALARNAS LÄN</t>
        </is>
      </c>
      <c r="E345" t="inlineStr">
        <is>
          <t>ORSA</t>
        </is>
      </c>
      <c r="G345" t="n">
        <v>0.7</v>
      </c>
      <c r="H345" t="n">
        <v>0</v>
      </c>
      <c r="I345" t="n">
        <v>0</v>
      </c>
      <c r="J345" t="n">
        <v>0</v>
      </c>
      <c r="K345" t="n">
        <v>0</v>
      </c>
      <c r="L345" t="n">
        <v>0</v>
      </c>
      <c r="M345" t="n">
        <v>0</v>
      </c>
      <c r="N345" t="n">
        <v>0</v>
      </c>
      <c r="O345" t="n">
        <v>0</v>
      </c>
      <c r="P345" t="n">
        <v>0</v>
      </c>
      <c r="Q345" t="n">
        <v>0</v>
      </c>
      <c r="R345" s="2" t="inlineStr"/>
    </row>
    <row r="346" ht="15" customHeight="1">
      <c r="A346" t="inlineStr">
        <is>
          <t>A 53572-2025</t>
        </is>
      </c>
      <c r="B346" s="1" t="n">
        <v>45960.4140625</v>
      </c>
      <c r="C346" s="1" t="n">
        <v>46036</v>
      </c>
      <c r="D346" t="inlineStr">
        <is>
          <t>DALARNAS LÄN</t>
        </is>
      </c>
      <c r="E346" t="inlineStr">
        <is>
          <t>ORSA</t>
        </is>
      </c>
      <c r="F346" t="inlineStr">
        <is>
          <t>Bergvik skog öst AB</t>
        </is>
      </c>
      <c r="G346" t="n">
        <v>4.1</v>
      </c>
      <c r="H346" t="n">
        <v>0</v>
      </c>
      <c r="I346" t="n">
        <v>0</v>
      </c>
      <c r="J346" t="n">
        <v>0</v>
      </c>
      <c r="K346" t="n">
        <v>0</v>
      </c>
      <c r="L346" t="n">
        <v>0</v>
      </c>
      <c r="M346" t="n">
        <v>0</v>
      </c>
      <c r="N346" t="n">
        <v>0</v>
      </c>
      <c r="O346" t="n">
        <v>0</v>
      </c>
      <c r="P346" t="n">
        <v>0</v>
      </c>
      <c r="Q346" t="n">
        <v>0</v>
      </c>
      <c r="R346" s="2" t="inlineStr"/>
    </row>
    <row r="347" ht="15" customHeight="1">
      <c r="A347" t="inlineStr">
        <is>
          <t>A 53855-2025</t>
        </is>
      </c>
      <c r="B347" s="1" t="n">
        <v>45961.37528935185</v>
      </c>
      <c r="C347" s="1" t="n">
        <v>46036</v>
      </c>
      <c r="D347" t="inlineStr">
        <is>
          <t>DALARNAS LÄN</t>
        </is>
      </c>
      <c r="E347" t="inlineStr">
        <is>
          <t>ORSA</t>
        </is>
      </c>
      <c r="G347" t="n">
        <v>11.1</v>
      </c>
      <c r="H347" t="n">
        <v>0</v>
      </c>
      <c r="I347" t="n">
        <v>0</v>
      </c>
      <c r="J347" t="n">
        <v>0</v>
      </c>
      <c r="K347" t="n">
        <v>0</v>
      </c>
      <c r="L347" t="n">
        <v>0</v>
      </c>
      <c r="M347" t="n">
        <v>0</v>
      </c>
      <c r="N347" t="n">
        <v>0</v>
      </c>
      <c r="O347" t="n">
        <v>0</v>
      </c>
      <c r="P347" t="n">
        <v>0</v>
      </c>
      <c r="Q347" t="n">
        <v>0</v>
      </c>
      <c r="R347" s="2" t="inlineStr"/>
    </row>
    <row r="348" ht="15" customHeight="1">
      <c r="A348" t="inlineStr">
        <is>
          <t>A 53501-2025</t>
        </is>
      </c>
      <c r="B348" s="1" t="n">
        <v>45960.34216435185</v>
      </c>
      <c r="C348" s="1" t="n">
        <v>46036</v>
      </c>
      <c r="D348" t="inlineStr">
        <is>
          <t>DALARNAS LÄN</t>
        </is>
      </c>
      <c r="E348" t="inlineStr">
        <is>
          <t>ORSA</t>
        </is>
      </c>
      <c r="G348" t="n">
        <v>0.6</v>
      </c>
      <c r="H348" t="n">
        <v>0</v>
      </c>
      <c r="I348" t="n">
        <v>0</v>
      </c>
      <c r="J348" t="n">
        <v>0</v>
      </c>
      <c r="K348" t="n">
        <v>0</v>
      </c>
      <c r="L348" t="n">
        <v>0</v>
      </c>
      <c r="M348" t="n">
        <v>0</v>
      </c>
      <c r="N348" t="n">
        <v>0</v>
      </c>
      <c r="O348" t="n">
        <v>0</v>
      </c>
      <c r="P348" t="n">
        <v>0</v>
      </c>
      <c r="Q348" t="n">
        <v>0</v>
      </c>
      <c r="R348" s="2" t="inlineStr"/>
    </row>
    <row r="349" ht="15" customHeight="1">
      <c r="A349" t="inlineStr">
        <is>
          <t>A 54509-2025</t>
        </is>
      </c>
      <c r="B349" s="1" t="n">
        <v>45965.61920138889</v>
      </c>
      <c r="C349" s="1" t="n">
        <v>46036</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54176-2025</t>
        </is>
      </c>
      <c r="B350" s="1" t="n">
        <v>45964.5500925926</v>
      </c>
      <c r="C350" s="1" t="n">
        <v>46036</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46036</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54121-2025</t>
        </is>
      </c>
      <c r="B352" s="1" t="n">
        <v>45964.45186342593</v>
      </c>
      <c r="C352" s="1" t="n">
        <v>46036</v>
      </c>
      <c r="D352" t="inlineStr">
        <is>
          <t>DALARNAS LÄN</t>
        </is>
      </c>
      <c r="E352" t="inlineStr">
        <is>
          <t>ORSA</t>
        </is>
      </c>
      <c r="G352" t="n">
        <v>1.2</v>
      </c>
      <c r="H352" t="n">
        <v>0</v>
      </c>
      <c r="I352" t="n">
        <v>0</v>
      </c>
      <c r="J352" t="n">
        <v>0</v>
      </c>
      <c r="K352" t="n">
        <v>0</v>
      </c>
      <c r="L352" t="n">
        <v>0</v>
      </c>
      <c r="M352" t="n">
        <v>0</v>
      </c>
      <c r="N352" t="n">
        <v>0</v>
      </c>
      <c r="O352" t="n">
        <v>0</v>
      </c>
      <c r="P352" t="n">
        <v>0</v>
      </c>
      <c r="Q352" t="n">
        <v>0</v>
      </c>
      <c r="R352" s="2" t="inlineStr"/>
    </row>
    <row r="353" ht="15" customHeight="1">
      <c r="A353" t="inlineStr">
        <is>
          <t>A 54527-2025</t>
        </is>
      </c>
      <c r="B353" s="1" t="n">
        <v>45965.63420138889</v>
      </c>
      <c r="C353" s="1" t="n">
        <v>46036</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5435-2025</t>
        </is>
      </c>
      <c r="B354" s="1" t="n">
        <v>45692</v>
      </c>
      <c r="C354" s="1" t="n">
        <v>46036</v>
      </c>
      <c r="D354" t="inlineStr">
        <is>
          <t>DALARNAS LÄN</t>
        </is>
      </c>
      <c r="E354" t="inlineStr">
        <is>
          <t>ORSA</t>
        </is>
      </c>
      <c r="G354" t="n">
        <v>7.8</v>
      </c>
      <c r="H354" t="n">
        <v>0</v>
      </c>
      <c r="I354" t="n">
        <v>0</v>
      </c>
      <c r="J354" t="n">
        <v>0</v>
      </c>
      <c r="K354" t="n">
        <v>0</v>
      </c>
      <c r="L354" t="n">
        <v>0</v>
      </c>
      <c r="M354" t="n">
        <v>0</v>
      </c>
      <c r="N354" t="n">
        <v>0</v>
      </c>
      <c r="O354" t="n">
        <v>0</v>
      </c>
      <c r="P354" t="n">
        <v>0</v>
      </c>
      <c r="Q354" t="n">
        <v>0</v>
      </c>
      <c r="R354" s="2" t="inlineStr"/>
    </row>
    <row r="355" ht="15" customHeight="1">
      <c r="A355" t="inlineStr">
        <is>
          <t>A 54543-2025</t>
        </is>
      </c>
      <c r="B355" s="1" t="n">
        <v>45965.64862268518</v>
      </c>
      <c r="C355" s="1" t="n">
        <v>46036</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50742-2023</t>
        </is>
      </c>
      <c r="B356" s="1" t="n">
        <v>45217.58891203703</v>
      </c>
      <c r="C356" s="1" t="n">
        <v>46036</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62748-2025</t>
        </is>
      </c>
      <c r="B357" s="1" t="n">
        <v>46008.57913194445</v>
      </c>
      <c r="C357" s="1" t="n">
        <v>46036</v>
      </c>
      <c r="D357" t="inlineStr">
        <is>
          <t>DALARNAS LÄN</t>
        </is>
      </c>
      <c r="E357" t="inlineStr">
        <is>
          <t>ORSA</t>
        </is>
      </c>
      <c r="G357" t="n">
        <v>10.8</v>
      </c>
      <c r="H357" t="n">
        <v>0</v>
      </c>
      <c r="I357" t="n">
        <v>0</v>
      </c>
      <c r="J357" t="n">
        <v>0</v>
      </c>
      <c r="K357" t="n">
        <v>0</v>
      </c>
      <c r="L357" t="n">
        <v>0</v>
      </c>
      <c r="M357" t="n">
        <v>0</v>
      </c>
      <c r="N357" t="n">
        <v>0</v>
      </c>
      <c r="O357" t="n">
        <v>0</v>
      </c>
      <c r="P357" t="n">
        <v>0</v>
      </c>
      <c r="Q357" t="n">
        <v>0</v>
      </c>
      <c r="R357" s="2" t="inlineStr"/>
    </row>
    <row r="358" ht="15" customHeight="1">
      <c r="A358" t="inlineStr">
        <is>
          <t>A 62832-2025</t>
        </is>
      </c>
      <c r="B358" s="1" t="n">
        <v>46008.67696759259</v>
      </c>
      <c r="C358" s="1" t="n">
        <v>46036</v>
      </c>
      <c r="D358" t="inlineStr">
        <is>
          <t>DALARNAS LÄN</t>
        </is>
      </c>
      <c r="E358" t="inlineStr">
        <is>
          <t>ORSA</t>
        </is>
      </c>
      <c r="G358" t="n">
        <v>1.9</v>
      </c>
      <c r="H358" t="n">
        <v>0</v>
      </c>
      <c r="I358" t="n">
        <v>0</v>
      </c>
      <c r="J358" t="n">
        <v>0</v>
      </c>
      <c r="K358" t="n">
        <v>0</v>
      </c>
      <c r="L358" t="n">
        <v>0</v>
      </c>
      <c r="M358" t="n">
        <v>0</v>
      </c>
      <c r="N358" t="n">
        <v>0</v>
      </c>
      <c r="O358" t="n">
        <v>0</v>
      </c>
      <c r="P358" t="n">
        <v>0</v>
      </c>
      <c r="Q358" t="n">
        <v>0</v>
      </c>
      <c r="R358" s="2" t="inlineStr"/>
    </row>
    <row r="359" ht="15" customHeight="1">
      <c r="A359" t="inlineStr">
        <is>
          <t>A 62816-2025</t>
        </is>
      </c>
      <c r="B359" s="1" t="n">
        <v>46008.65450231481</v>
      </c>
      <c r="C359" s="1" t="n">
        <v>46036</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17421-2025</t>
        </is>
      </c>
      <c r="B360" s="1" t="n">
        <v>45757.38532407407</v>
      </c>
      <c r="C360" s="1" t="n">
        <v>46036</v>
      </c>
      <c r="D360" t="inlineStr">
        <is>
          <t>DALARNAS LÄN</t>
        </is>
      </c>
      <c r="E360" t="inlineStr">
        <is>
          <t>ORSA</t>
        </is>
      </c>
      <c r="F360" t="inlineStr">
        <is>
          <t>Bergvik skog öst AB</t>
        </is>
      </c>
      <c r="G360" t="n">
        <v>0.6</v>
      </c>
      <c r="H360" t="n">
        <v>0</v>
      </c>
      <c r="I360" t="n">
        <v>0</v>
      </c>
      <c r="J360" t="n">
        <v>0</v>
      </c>
      <c r="K360" t="n">
        <v>0</v>
      </c>
      <c r="L360" t="n">
        <v>0</v>
      </c>
      <c r="M360" t="n">
        <v>0</v>
      </c>
      <c r="N360" t="n">
        <v>0</v>
      </c>
      <c r="O360" t="n">
        <v>0</v>
      </c>
      <c r="P360" t="n">
        <v>0</v>
      </c>
      <c r="Q360" t="n">
        <v>0</v>
      </c>
      <c r="R360" s="2" t="inlineStr"/>
    </row>
    <row r="361" ht="15" customHeight="1">
      <c r="A361" t="inlineStr">
        <is>
          <t>A 62810-2025</t>
        </is>
      </c>
      <c r="B361" s="1" t="n">
        <v>46008.64875</v>
      </c>
      <c r="C361" s="1" t="n">
        <v>46036</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54726-2025</t>
        </is>
      </c>
      <c r="B362" s="1" t="n">
        <v>45966.54658564815</v>
      </c>
      <c r="C362" s="1" t="n">
        <v>46036</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54773-2025</t>
        </is>
      </c>
      <c r="B363" s="1" t="n">
        <v>45966.61081018519</v>
      </c>
      <c r="C363" s="1" t="n">
        <v>46036</v>
      </c>
      <c r="D363" t="inlineStr">
        <is>
          <t>DALARNAS LÄN</t>
        </is>
      </c>
      <c r="E363" t="inlineStr">
        <is>
          <t>ORSA</t>
        </is>
      </c>
      <c r="G363" t="n">
        <v>3.6</v>
      </c>
      <c r="H363" t="n">
        <v>0</v>
      </c>
      <c r="I363" t="n">
        <v>0</v>
      </c>
      <c r="J363" t="n">
        <v>0</v>
      </c>
      <c r="K363" t="n">
        <v>0</v>
      </c>
      <c r="L363" t="n">
        <v>0</v>
      </c>
      <c r="M363" t="n">
        <v>0</v>
      </c>
      <c r="N363" t="n">
        <v>0</v>
      </c>
      <c r="O363" t="n">
        <v>0</v>
      </c>
      <c r="P363" t="n">
        <v>0</v>
      </c>
      <c r="Q363" t="n">
        <v>0</v>
      </c>
      <c r="R363" s="2" t="inlineStr"/>
    </row>
    <row r="364" ht="15" customHeight="1">
      <c r="A364" t="inlineStr">
        <is>
          <t>A 52776-2022</t>
        </is>
      </c>
      <c r="B364" s="1" t="n">
        <v>44875.36341435185</v>
      </c>
      <c r="C364" s="1" t="n">
        <v>46036</v>
      </c>
      <c r="D364" t="inlineStr">
        <is>
          <t>DALARNAS LÄN</t>
        </is>
      </c>
      <c r="E364" t="inlineStr">
        <is>
          <t>ORSA</t>
        </is>
      </c>
      <c r="F364" t="inlineStr">
        <is>
          <t>Allmännings- och besparingsskogar</t>
        </is>
      </c>
      <c r="G364" t="n">
        <v>4.4</v>
      </c>
      <c r="H364" t="n">
        <v>0</v>
      </c>
      <c r="I364" t="n">
        <v>0</v>
      </c>
      <c r="J364" t="n">
        <v>0</v>
      </c>
      <c r="K364" t="n">
        <v>0</v>
      </c>
      <c r="L364" t="n">
        <v>0</v>
      </c>
      <c r="M364" t="n">
        <v>0</v>
      </c>
      <c r="N364" t="n">
        <v>0</v>
      </c>
      <c r="O364" t="n">
        <v>0</v>
      </c>
      <c r="P364" t="n">
        <v>0</v>
      </c>
      <c r="Q364" t="n">
        <v>0</v>
      </c>
      <c r="R364" s="2" t="inlineStr"/>
    </row>
    <row r="365" ht="15" customHeight="1">
      <c r="A365" t="inlineStr">
        <is>
          <t>A 63118-2025</t>
        </is>
      </c>
      <c r="B365" s="1" t="n">
        <v>46009.85609953704</v>
      </c>
      <c r="C365" s="1" t="n">
        <v>46036</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62808-2025</t>
        </is>
      </c>
      <c r="B366" s="1" t="n">
        <v>46008.64555555556</v>
      </c>
      <c r="C366" s="1" t="n">
        <v>46036</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62858-2025</t>
        </is>
      </c>
      <c r="B367" s="1" t="n">
        <v>46008.74334490741</v>
      </c>
      <c r="C367" s="1" t="n">
        <v>46036</v>
      </c>
      <c r="D367" t="inlineStr">
        <is>
          <t>DALARNAS LÄN</t>
        </is>
      </c>
      <c r="E367" t="inlineStr">
        <is>
          <t>ORSA</t>
        </is>
      </c>
      <c r="G367" t="n">
        <v>5</v>
      </c>
      <c r="H367" t="n">
        <v>0</v>
      </c>
      <c r="I367" t="n">
        <v>0</v>
      </c>
      <c r="J367" t="n">
        <v>0</v>
      </c>
      <c r="K367" t="n">
        <v>0</v>
      </c>
      <c r="L367" t="n">
        <v>0</v>
      </c>
      <c r="M367" t="n">
        <v>0</v>
      </c>
      <c r="N367" t="n">
        <v>0</v>
      </c>
      <c r="O367" t="n">
        <v>0</v>
      </c>
      <c r="P367" t="n">
        <v>0</v>
      </c>
      <c r="Q367" t="n">
        <v>0</v>
      </c>
      <c r="R367" s="2" t="inlineStr"/>
    </row>
    <row r="368" ht="15" customHeight="1">
      <c r="A368" t="inlineStr">
        <is>
          <t>A 6492-2025</t>
        </is>
      </c>
      <c r="B368" s="1" t="n">
        <v>45699</v>
      </c>
      <c r="C368" s="1" t="n">
        <v>46036</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62773-2025</t>
        </is>
      </c>
      <c r="B369" s="1" t="n">
        <v>46008.60548611111</v>
      </c>
      <c r="C369" s="1" t="n">
        <v>46036</v>
      </c>
      <c r="D369" t="inlineStr">
        <is>
          <t>DALARNAS LÄN</t>
        </is>
      </c>
      <c r="E369" t="inlineStr">
        <is>
          <t>ORSA</t>
        </is>
      </c>
      <c r="G369" t="n">
        <v>3.9</v>
      </c>
      <c r="H369" t="n">
        <v>0</v>
      </c>
      <c r="I369" t="n">
        <v>0</v>
      </c>
      <c r="J369" t="n">
        <v>0</v>
      </c>
      <c r="K369" t="n">
        <v>0</v>
      </c>
      <c r="L369" t="n">
        <v>0</v>
      </c>
      <c r="M369" t="n">
        <v>0</v>
      </c>
      <c r="N369" t="n">
        <v>0</v>
      </c>
      <c r="O369" t="n">
        <v>0</v>
      </c>
      <c r="P369" t="n">
        <v>0</v>
      </c>
      <c r="Q369" t="n">
        <v>0</v>
      </c>
      <c r="R369" s="2" t="inlineStr"/>
    </row>
    <row r="370" ht="15" customHeight="1">
      <c r="A370" t="inlineStr">
        <is>
          <t>A 62778-2025</t>
        </is>
      </c>
      <c r="B370" s="1" t="n">
        <v>46008.61351851852</v>
      </c>
      <c r="C370" s="1" t="n">
        <v>46036</v>
      </c>
      <c r="D370" t="inlineStr">
        <is>
          <t>DALARNAS LÄN</t>
        </is>
      </c>
      <c r="E370" t="inlineStr">
        <is>
          <t>ORSA</t>
        </is>
      </c>
      <c r="G370" t="n">
        <v>4.2</v>
      </c>
      <c r="H370" t="n">
        <v>0</v>
      </c>
      <c r="I370" t="n">
        <v>0</v>
      </c>
      <c r="J370" t="n">
        <v>0</v>
      </c>
      <c r="K370" t="n">
        <v>0</v>
      </c>
      <c r="L370" t="n">
        <v>0</v>
      </c>
      <c r="M370" t="n">
        <v>0</v>
      </c>
      <c r="N370" t="n">
        <v>0</v>
      </c>
      <c r="O370" t="n">
        <v>0</v>
      </c>
      <c r="P370" t="n">
        <v>0</v>
      </c>
      <c r="Q370" t="n">
        <v>0</v>
      </c>
      <c r="R370" s="2" t="inlineStr"/>
    </row>
    <row r="371" ht="15" customHeight="1">
      <c r="A371" t="inlineStr">
        <is>
          <t>A 54776-2025</t>
        </is>
      </c>
      <c r="B371" s="1" t="n">
        <v>45966.61395833334</v>
      </c>
      <c r="C371" s="1" t="n">
        <v>46036</v>
      </c>
      <c r="D371" t="inlineStr">
        <is>
          <t>DALARNAS LÄN</t>
        </is>
      </c>
      <c r="E371" t="inlineStr">
        <is>
          <t>ORSA</t>
        </is>
      </c>
      <c r="G371" t="n">
        <v>4.8</v>
      </c>
      <c r="H371" t="n">
        <v>0</v>
      </c>
      <c r="I371" t="n">
        <v>0</v>
      </c>
      <c r="J371" t="n">
        <v>0</v>
      </c>
      <c r="K371" t="n">
        <v>0</v>
      </c>
      <c r="L371" t="n">
        <v>0</v>
      </c>
      <c r="M371" t="n">
        <v>0</v>
      </c>
      <c r="N371" t="n">
        <v>0</v>
      </c>
      <c r="O371" t="n">
        <v>0</v>
      </c>
      <c r="P371" t="n">
        <v>0</v>
      </c>
      <c r="Q371" t="n">
        <v>0</v>
      </c>
      <c r="R371" s="2" t="inlineStr"/>
    </row>
    <row r="372" ht="15" customHeight="1">
      <c r="A372" t="inlineStr">
        <is>
          <t>A 62971-2025</t>
        </is>
      </c>
      <c r="B372" s="1" t="n">
        <v>46009.46511574074</v>
      </c>
      <c r="C372" s="1" t="n">
        <v>46036</v>
      </c>
      <c r="D372" t="inlineStr">
        <is>
          <t>DALARNAS LÄN</t>
        </is>
      </c>
      <c r="E372" t="inlineStr">
        <is>
          <t>ORSA</t>
        </is>
      </c>
      <c r="G372" t="n">
        <v>2.4</v>
      </c>
      <c r="H372" t="n">
        <v>0</v>
      </c>
      <c r="I372" t="n">
        <v>0</v>
      </c>
      <c r="J372" t="n">
        <v>0</v>
      </c>
      <c r="K372" t="n">
        <v>0</v>
      </c>
      <c r="L372" t="n">
        <v>0</v>
      </c>
      <c r="M372" t="n">
        <v>0</v>
      </c>
      <c r="N372" t="n">
        <v>0</v>
      </c>
      <c r="O372" t="n">
        <v>0</v>
      </c>
      <c r="P372" t="n">
        <v>0</v>
      </c>
      <c r="Q372" t="n">
        <v>0</v>
      </c>
      <c r="R372" s="2" t="inlineStr"/>
    </row>
    <row r="373" ht="15" customHeight="1">
      <c r="A373" t="inlineStr">
        <is>
          <t>A 35477-2023</t>
        </is>
      </c>
      <c r="B373" s="1" t="n">
        <v>45146</v>
      </c>
      <c r="C373" s="1" t="n">
        <v>46036</v>
      </c>
      <c r="D373" t="inlineStr">
        <is>
          <t>DALARNAS LÄN</t>
        </is>
      </c>
      <c r="E373" t="inlineStr">
        <is>
          <t>ORSA</t>
        </is>
      </c>
      <c r="G373" t="n">
        <v>7.7</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46036</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62829-2025</t>
        </is>
      </c>
      <c r="B375" s="1" t="n">
        <v>46008.66658564815</v>
      </c>
      <c r="C375" s="1" t="n">
        <v>46036</v>
      </c>
      <c r="D375" t="inlineStr">
        <is>
          <t>DALARNAS LÄN</t>
        </is>
      </c>
      <c r="E375" t="inlineStr">
        <is>
          <t>ORSA</t>
        </is>
      </c>
      <c r="G375" t="n">
        <v>10.4</v>
      </c>
      <c r="H375" t="n">
        <v>0</v>
      </c>
      <c r="I375" t="n">
        <v>0</v>
      </c>
      <c r="J375" t="n">
        <v>0</v>
      </c>
      <c r="K375" t="n">
        <v>0</v>
      </c>
      <c r="L375" t="n">
        <v>0</v>
      </c>
      <c r="M375" t="n">
        <v>0</v>
      </c>
      <c r="N375" t="n">
        <v>0</v>
      </c>
      <c r="O375" t="n">
        <v>0</v>
      </c>
      <c r="P375" t="n">
        <v>0</v>
      </c>
      <c r="Q375" t="n">
        <v>0</v>
      </c>
      <c r="R375" s="2" t="inlineStr"/>
    </row>
    <row r="376" ht="15" customHeight="1">
      <c r="A376" t="inlineStr">
        <is>
          <t>A 62830-2025</t>
        </is>
      </c>
      <c r="B376" s="1" t="n">
        <v>46008.67211805555</v>
      </c>
      <c r="C376" s="1" t="n">
        <v>46036</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54782-2025</t>
        </is>
      </c>
      <c r="B377" s="1" t="n">
        <v>45966.61878472222</v>
      </c>
      <c r="C377" s="1" t="n">
        <v>46036</v>
      </c>
      <c r="D377" t="inlineStr">
        <is>
          <t>DALARNAS LÄN</t>
        </is>
      </c>
      <c r="E377" t="inlineStr">
        <is>
          <t>ORSA</t>
        </is>
      </c>
      <c r="G377" t="n">
        <v>3.8</v>
      </c>
      <c r="H377" t="n">
        <v>0</v>
      </c>
      <c r="I377" t="n">
        <v>0</v>
      </c>
      <c r="J377" t="n">
        <v>0</v>
      </c>
      <c r="K377" t="n">
        <v>0</v>
      </c>
      <c r="L377" t="n">
        <v>0</v>
      </c>
      <c r="M377" t="n">
        <v>0</v>
      </c>
      <c r="N377" t="n">
        <v>0</v>
      </c>
      <c r="O377" t="n">
        <v>0</v>
      </c>
      <c r="P377" t="n">
        <v>0</v>
      </c>
      <c r="Q377" t="n">
        <v>0</v>
      </c>
      <c r="R377" s="2" t="inlineStr"/>
    </row>
    <row r="378" ht="15" customHeight="1">
      <c r="A378" t="inlineStr">
        <is>
          <t>A 54676-2025</t>
        </is>
      </c>
      <c r="B378" s="1" t="n">
        <v>45966.42188657408</v>
      </c>
      <c r="C378" s="1" t="n">
        <v>46036</v>
      </c>
      <c r="D378" t="inlineStr">
        <is>
          <t>DALARNAS LÄN</t>
        </is>
      </c>
      <c r="E378" t="inlineStr">
        <is>
          <t>ORSA</t>
        </is>
      </c>
      <c r="F378" t="inlineStr">
        <is>
          <t>Allmännings- och besparingsskogar</t>
        </is>
      </c>
      <c r="G378" t="n">
        <v>4.6</v>
      </c>
      <c r="H378" t="n">
        <v>0</v>
      </c>
      <c r="I378" t="n">
        <v>0</v>
      </c>
      <c r="J378" t="n">
        <v>0</v>
      </c>
      <c r="K378" t="n">
        <v>0</v>
      </c>
      <c r="L378" t="n">
        <v>0</v>
      </c>
      <c r="M378" t="n">
        <v>0</v>
      </c>
      <c r="N378" t="n">
        <v>0</v>
      </c>
      <c r="O378" t="n">
        <v>0</v>
      </c>
      <c r="P378" t="n">
        <v>0</v>
      </c>
      <c r="Q378" t="n">
        <v>0</v>
      </c>
      <c r="R378" s="2" t="inlineStr"/>
    </row>
    <row r="379" ht="15" customHeight="1">
      <c r="A379" t="inlineStr">
        <is>
          <t>A 55105-2025</t>
        </is>
      </c>
      <c r="B379" s="1" t="n">
        <v>45968.36422453704</v>
      </c>
      <c r="C379" s="1" t="n">
        <v>46036</v>
      </c>
      <c r="D379" t="inlineStr">
        <is>
          <t>DALARNAS LÄN</t>
        </is>
      </c>
      <c r="E379" t="inlineStr">
        <is>
          <t>ORSA</t>
        </is>
      </c>
      <c r="F379" t="inlineStr">
        <is>
          <t>Allmännings- och besparingsskogar</t>
        </is>
      </c>
      <c r="G379" t="n">
        <v>31.5</v>
      </c>
      <c r="H379" t="n">
        <v>0</v>
      </c>
      <c r="I379" t="n">
        <v>0</v>
      </c>
      <c r="J379" t="n">
        <v>0</v>
      </c>
      <c r="K379" t="n">
        <v>0</v>
      </c>
      <c r="L379" t="n">
        <v>0</v>
      </c>
      <c r="M379" t="n">
        <v>0</v>
      </c>
      <c r="N379" t="n">
        <v>0</v>
      </c>
      <c r="O379" t="n">
        <v>0</v>
      </c>
      <c r="P379" t="n">
        <v>0</v>
      </c>
      <c r="Q379" t="n">
        <v>0</v>
      </c>
      <c r="R379" s="2" t="inlineStr"/>
    </row>
    <row r="380" ht="15" customHeight="1">
      <c r="A380" t="inlineStr">
        <is>
          <t>A 55369-2025</t>
        </is>
      </c>
      <c r="B380" s="1" t="n">
        <v>45971.41472222222</v>
      </c>
      <c r="C380" s="1" t="n">
        <v>46036</v>
      </c>
      <c r="D380" t="inlineStr">
        <is>
          <t>DALARNAS LÄN</t>
        </is>
      </c>
      <c r="E380" t="inlineStr">
        <is>
          <t>ORSA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63209-2025</t>
        </is>
      </c>
      <c r="B381" s="1" t="n">
        <v>46010.47516203704</v>
      </c>
      <c r="C381" s="1" t="n">
        <v>46036</v>
      </c>
      <c r="D381" t="inlineStr">
        <is>
          <t>DALARNAS LÄN</t>
        </is>
      </c>
      <c r="E381" t="inlineStr">
        <is>
          <t>ORSA</t>
        </is>
      </c>
      <c r="G381" t="n">
        <v>2.4</v>
      </c>
      <c r="H381" t="n">
        <v>0</v>
      </c>
      <c r="I381" t="n">
        <v>0</v>
      </c>
      <c r="J381" t="n">
        <v>0</v>
      </c>
      <c r="K381" t="n">
        <v>0</v>
      </c>
      <c r="L381" t="n">
        <v>0</v>
      </c>
      <c r="M381" t="n">
        <v>0</v>
      </c>
      <c r="N381" t="n">
        <v>0</v>
      </c>
      <c r="O381" t="n">
        <v>0</v>
      </c>
      <c r="P381" t="n">
        <v>0</v>
      </c>
      <c r="Q381" t="n">
        <v>0</v>
      </c>
      <c r="R381" s="2" t="inlineStr"/>
    </row>
    <row r="382" ht="15" customHeight="1">
      <c r="A382" t="inlineStr">
        <is>
          <t>A 63231-2025</t>
        </is>
      </c>
      <c r="B382" s="1" t="n">
        <v>46010.50851851852</v>
      </c>
      <c r="C382" s="1" t="n">
        <v>46036</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63467-2025</t>
        </is>
      </c>
      <c r="B383" s="1" t="n">
        <v>46013.43195601852</v>
      </c>
      <c r="C383" s="1" t="n">
        <v>46036</v>
      </c>
      <c r="D383" t="inlineStr">
        <is>
          <t>DALARNAS LÄN</t>
        </is>
      </c>
      <c r="E383" t="inlineStr">
        <is>
          <t>ORSA</t>
        </is>
      </c>
      <c r="G383" t="n">
        <v>1.6</v>
      </c>
      <c r="H383" t="n">
        <v>0</v>
      </c>
      <c r="I383" t="n">
        <v>0</v>
      </c>
      <c r="J383" t="n">
        <v>0</v>
      </c>
      <c r="K383" t="n">
        <v>0</v>
      </c>
      <c r="L383" t="n">
        <v>0</v>
      </c>
      <c r="M383" t="n">
        <v>0</v>
      </c>
      <c r="N383" t="n">
        <v>0</v>
      </c>
      <c r="O383" t="n">
        <v>0</v>
      </c>
      <c r="P383" t="n">
        <v>0</v>
      </c>
      <c r="Q383" t="n">
        <v>0</v>
      </c>
      <c r="R383" s="2" t="inlineStr"/>
    </row>
    <row r="384" ht="15" customHeight="1">
      <c r="A384" t="inlineStr">
        <is>
          <t>A 55405-2025</t>
        </is>
      </c>
      <c r="B384" s="1" t="n">
        <v>45971.45525462963</v>
      </c>
      <c r="C384" s="1" t="n">
        <v>46036</v>
      </c>
      <c r="D384" t="inlineStr">
        <is>
          <t>DALARNAS LÄN</t>
        </is>
      </c>
      <c r="E384" t="inlineStr">
        <is>
          <t>ORSA</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56344-2025</t>
        </is>
      </c>
      <c r="B385" s="1" t="n">
        <v>45974.64894675926</v>
      </c>
      <c r="C385" s="1" t="n">
        <v>46036</v>
      </c>
      <c r="D385" t="inlineStr">
        <is>
          <t>DALARNAS LÄN</t>
        </is>
      </c>
      <c r="E385" t="inlineStr">
        <is>
          <t>ORSA</t>
        </is>
      </c>
      <c r="G385" t="n">
        <v>5.5</v>
      </c>
      <c r="H385" t="n">
        <v>0</v>
      </c>
      <c r="I385" t="n">
        <v>0</v>
      </c>
      <c r="J385" t="n">
        <v>0</v>
      </c>
      <c r="K385" t="n">
        <v>0</v>
      </c>
      <c r="L385" t="n">
        <v>0</v>
      </c>
      <c r="M385" t="n">
        <v>0</v>
      </c>
      <c r="N385" t="n">
        <v>0</v>
      </c>
      <c r="O385" t="n">
        <v>0</v>
      </c>
      <c r="P385" t="n">
        <v>0</v>
      </c>
      <c r="Q385" t="n">
        <v>0</v>
      </c>
      <c r="R385" s="2" t="inlineStr"/>
    </row>
    <row r="386" ht="15" customHeight="1">
      <c r="A386" t="inlineStr">
        <is>
          <t>A 37838-2024</t>
        </is>
      </c>
      <c r="B386" s="1" t="n">
        <v>45544.36310185185</v>
      </c>
      <c r="C386" s="1" t="n">
        <v>46036</v>
      </c>
      <c r="D386" t="inlineStr">
        <is>
          <t>DALARNAS LÄN</t>
        </is>
      </c>
      <c r="E386" t="inlineStr">
        <is>
          <t>ORSA</t>
        </is>
      </c>
      <c r="G386" t="n">
        <v>2.9</v>
      </c>
      <c r="H386" t="n">
        <v>0</v>
      </c>
      <c r="I386" t="n">
        <v>0</v>
      </c>
      <c r="J386" t="n">
        <v>0</v>
      </c>
      <c r="K386" t="n">
        <v>0</v>
      </c>
      <c r="L386" t="n">
        <v>0</v>
      </c>
      <c r="M386" t="n">
        <v>0</v>
      </c>
      <c r="N386" t="n">
        <v>0</v>
      </c>
      <c r="O386" t="n">
        <v>0</v>
      </c>
      <c r="P386" t="n">
        <v>0</v>
      </c>
      <c r="Q386" t="n">
        <v>0</v>
      </c>
      <c r="R386" s="2" t="inlineStr"/>
    </row>
    <row r="387" ht="15" customHeight="1">
      <c r="A387" t="inlineStr">
        <is>
          <t>A 56471-2025</t>
        </is>
      </c>
      <c r="B387" s="1" t="n">
        <v>45975.37766203703</v>
      </c>
      <c r="C387" s="1" t="n">
        <v>46036</v>
      </c>
      <c r="D387" t="inlineStr">
        <is>
          <t>DALARNAS LÄN</t>
        </is>
      </c>
      <c r="E387" t="inlineStr">
        <is>
          <t>ORSA</t>
        </is>
      </c>
      <c r="G387" t="n">
        <v>5.2</v>
      </c>
      <c r="H387" t="n">
        <v>0</v>
      </c>
      <c r="I387" t="n">
        <v>0</v>
      </c>
      <c r="J387" t="n">
        <v>0</v>
      </c>
      <c r="K387" t="n">
        <v>0</v>
      </c>
      <c r="L387" t="n">
        <v>0</v>
      </c>
      <c r="M387" t="n">
        <v>0</v>
      </c>
      <c r="N387" t="n">
        <v>0</v>
      </c>
      <c r="O387" t="n">
        <v>0</v>
      </c>
      <c r="P387" t="n">
        <v>0</v>
      </c>
      <c r="Q387" t="n">
        <v>0</v>
      </c>
      <c r="R387" s="2" t="inlineStr"/>
    </row>
    <row r="388" ht="15" customHeight="1">
      <c r="A388" t="inlineStr">
        <is>
          <t>A 56295-2025</t>
        </is>
      </c>
      <c r="B388" s="1" t="n">
        <v>45974.60144675926</v>
      </c>
      <c r="C388" s="1" t="n">
        <v>46036</v>
      </c>
      <c r="D388" t="inlineStr">
        <is>
          <t>DALARNAS LÄN</t>
        </is>
      </c>
      <c r="E388" t="inlineStr">
        <is>
          <t>ORSA</t>
        </is>
      </c>
      <c r="G388" t="n">
        <v>2.1</v>
      </c>
      <c r="H388" t="n">
        <v>0</v>
      </c>
      <c r="I388" t="n">
        <v>0</v>
      </c>
      <c r="J388" t="n">
        <v>0</v>
      </c>
      <c r="K388" t="n">
        <v>0</v>
      </c>
      <c r="L388" t="n">
        <v>0</v>
      </c>
      <c r="M388" t="n">
        <v>0</v>
      </c>
      <c r="N388" t="n">
        <v>0</v>
      </c>
      <c r="O388" t="n">
        <v>0</v>
      </c>
      <c r="P388" t="n">
        <v>0</v>
      </c>
      <c r="Q388" t="n">
        <v>0</v>
      </c>
      <c r="R388" s="2" t="inlineStr"/>
    </row>
    <row r="389" ht="15" customHeight="1">
      <c r="A389" t="inlineStr">
        <is>
          <t>A 34708-2021</t>
        </is>
      </c>
      <c r="B389" s="1" t="n">
        <v>44382</v>
      </c>
      <c r="C389" s="1" t="n">
        <v>46036</v>
      </c>
      <c r="D389" t="inlineStr">
        <is>
          <t>DALARNAS LÄN</t>
        </is>
      </c>
      <c r="E389" t="inlineStr">
        <is>
          <t>ORSA</t>
        </is>
      </c>
      <c r="G389" t="n">
        <v>4.3</v>
      </c>
      <c r="H389" t="n">
        <v>0</v>
      </c>
      <c r="I389" t="n">
        <v>0</v>
      </c>
      <c r="J389" t="n">
        <v>0</v>
      </c>
      <c r="K389" t="n">
        <v>0</v>
      </c>
      <c r="L389" t="n">
        <v>0</v>
      </c>
      <c r="M389" t="n">
        <v>0</v>
      </c>
      <c r="N389" t="n">
        <v>0</v>
      </c>
      <c r="O389" t="n">
        <v>0</v>
      </c>
      <c r="P389" t="n">
        <v>0</v>
      </c>
      <c r="Q389" t="n">
        <v>0</v>
      </c>
      <c r="R389" s="2" t="inlineStr"/>
    </row>
    <row r="390" ht="15" customHeight="1">
      <c r="A390" t="inlineStr">
        <is>
          <t>A 18037-2023</t>
        </is>
      </c>
      <c r="B390" s="1" t="n">
        <v>45040</v>
      </c>
      <c r="C390" s="1" t="n">
        <v>46036</v>
      </c>
      <c r="D390" t="inlineStr">
        <is>
          <t>DALARNAS LÄN</t>
        </is>
      </c>
      <c r="E390" t="inlineStr">
        <is>
          <t>ORSA</t>
        </is>
      </c>
      <c r="G390" t="n">
        <v>6.6</v>
      </c>
      <c r="H390" t="n">
        <v>0</v>
      </c>
      <c r="I390" t="n">
        <v>0</v>
      </c>
      <c r="J390" t="n">
        <v>0</v>
      </c>
      <c r="K390" t="n">
        <v>0</v>
      </c>
      <c r="L390" t="n">
        <v>0</v>
      </c>
      <c r="M390" t="n">
        <v>0</v>
      </c>
      <c r="N390" t="n">
        <v>0</v>
      </c>
      <c r="O390" t="n">
        <v>0</v>
      </c>
      <c r="P390" t="n">
        <v>0</v>
      </c>
      <c r="Q390" t="n">
        <v>0</v>
      </c>
      <c r="R390" s="2" t="inlineStr"/>
    </row>
    <row r="391" ht="15" customHeight="1">
      <c r="A391" t="inlineStr">
        <is>
          <t>A 56473-2025</t>
        </is>
      </c>
      <c r="B391" s="1" t="n">
        <v>45975.38001157407</v>
      </c>
      <c r="C391" s="1" t="n">
        <v>46036</v>
      </c>
      <c r="D391" t="inlineStr">
        <is>
          <t>DALARNAS LÄN</t>
        </is>
      </c>
      <c r="E391" t="inlineStr">
        <is>
          <t>ORSA</t>
        </is>
      </c>
      <c r="G391" t="n">
        <v>1.1</v>
      </c>
      <c r="H391" t="n">
        <v>0</v>
      </c>
      <c r="I391" t="n">
        <v>0</v>
      </c>
      <c r="J391" t="n">
        <v>0</v>
      </c>
      <c r="K391" t="n">
        <v>0</v>
      </c>
      <c r="L391" t="n">
        <v>0</v>
      </c>
      <c r="M391" t="n">
        <v>0</v>
      </c>
      <c r="N391" t="n">
        <v>0</v>
      </c>
      <c r="O391" t="n">
        <v>0</v>
      </c>
      <c r="P391" t="n">
        <v>0</v>
      </c>
      <c r="Q391" t="n">
        <v>0</v>
      </c>
      <c r="R391" s="2" t="inlineStr"/>
    </row>
    <row r="392" ht="15" customHeight="1">
      <c r="A392" t="inlineStr">
        <is>
          <t>A 52816-2024</t>
        </is>
      </c>
      <c r="B392" s="1" t="n">
        <v>45610.58322916667</v>
      </c>
      <c r="C392" s="1" t="n">
        <v>46036</v>
      </c>
      <c r="D392" t="inlineStr">
        <is>
          <t>DALARNAS LÄN</t>
        </is>
      </c>
      <c r="E392" t="inlineStr">
        <is>
          <t>ORSA</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56297-2025</t>
        </is>
      </c>
      <c r="B393" s="1" t="n">
        <v>45974.60431712963</v>
      </c>
      <c r="C393" s="1" t="n">
        <v>46036</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56459-2025</t>
        </is>
      </c>
      <c r="B394" s="1" t="n">
        <v>45975.36898148148</v>
      </c>
      <c r="C394" s="1" t="n">
        <v>46036</v>
      </c>
      <c r="D394" t="inlineStr">
        <is>
          <t>DALARNAS LÄN</t>
        </is>
      </c>
      <c r="E394" t="inlineStr">
        <is>
          <t>ORSA</t>
        </is>
      </c>
      <c r="G394" t="n">
        <v>3.8</v>
      </c>
      <c r="H394" t="n">
        <v>0</v>
      </c>
      <c r="I394" t="n">
        <v>0</v>
      </c>
      <c r="J394" t="n">
        <v>0</v>
      </c>
      <c r="K394" t="n">
        <v>0</v>
      </c>
      <c r="L394" t="n">
        <v>0</v>
      </c>
      <c r="M394" t="n">
        <v>0</v>
      </c>
      <c r="N394" t="n">
        <v>0</v>
      </c>
      <c r="O394" t="n">
        <v>0</v>
      </c>
      <c r="P394" t="n">
        <v>0</v>
      </c>
      <c r="Q394" t="n">
        <v>0</v>
      </c>
      <c r="R394" s="2" t="inlineStr"/>
    </row>
    <row r="395" ht="15" customHeight="1">
      <c r="A395" t="inlineStr">
        <is>
          <t>A 50905-2021</t>
        </is>
      </c>
      <c r="B395" s="1" t="n">
        <v>44460</v>
      </c>
      <c r="C395" s="1" t="n">
        <v>46036</v>
      </c>
      <c r="D395" t="inlineStr">
        <is>
          <t>DALARNAS LÄN</t>
        </is>
      </c>
      <c r="E395" t="inlineStr">
        <is>
          <t>ORSA</t>
        </is>
      </c>
      <c r="G395" t="n">
        <v>2.1</v>
      </c>
      <c r="H395" t="n">
        <v>0</v>
      </c>
      <c r="I395" t="n">
        <v>0</v>
      </c>
      <c r="J395" t="n">
        <v>0</v>
      </c>
      <c r="K395" t="n">
        <v>0</v>
      </c>
      <c r="L395" t="n">
        <v>0</v>
      </c>
      <c r="M395" t="n">
        <v>0</v>
      </c>
      <c r="N395" t="n">
        <v>0</v>
      </c>
      <c r="O395" t="n">
        <v>0</v>
      </c>
      <c r="P395" t="n">
        <v>0</v>
      </c>
      <c r="Q395" t="n">
        <v>0</v>
      </c>
      <c r="R395" s="2" t="inlineStr"/>
    </row>
    <row r="396" ht="15" customHeight="1">
      <c r="A396" t="inlineStr">
        <is>
          <t>A 56288-2025</t>
        </is>
      </c>
      <c r="B396" s="1" t="n">
        <v>45974.59688657407</v>
      </c>
      <c r="C396" s="1" t="n">
        <v>46036</v>
      </c>
      <c r="D396" t="inlineStr">
        <is>
          <t>DALARNAS LÄN</t>
        </is>
      </c>
      <c r="E396" t="inlineStr">
        <is>
          <t>ORSA</t>
        </is>
      </c>
      <c r="G396" t="n">
        <v>7.2</v>
      </c>
      <c r="H396" t="n">
        <v>0</v>
      </c>
      <c r="I396" t="n">
        <v>0</v>
      </c>
      <c r="J396" t="n">
        <v>0</v>
      </c>
      <c r="K396" t="n">
        <v>0</v>
      </c>
      <c r="L396" t="n">
        <v>0</v>
      </c>
      <c r="M396" t="n">
        <v>0</v>
      </c>
      <c r="N396" t="n">
        <v>0</v>
      </c>
      <c r="O396" t="n">
        <v>0</v>
      </c>
      <c r="P396" t="n">
        <v>0</v>
      </c>
      <c r="Q396" t="n">
        <v>0</v>
      </c>
      <c r="R396" s="2" t="inlineStr"/>
    </row>
    <row r="397" ht="15" customHeight="1">
      <c r="A397" t="inlineStr">
        <is>
          <t>A 36569-2021</t>
        </is>
      </c>
      <c r="B397" s="1" t="n">
        <v>44391</v>
      </c>
      <c r="C397" s="1" t="n">
        <v>46036</v>
      </c>
      <c r="D397" t="inlineStr">
        <is>
          <t>DALARNAS LÄN</t>
        </is>
      </c>
      <c r="E397" t="inlineStr">
        <is>
          <t>ORSA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57055-2025</t>
        </is>
      </c>
      <c r="B398" s="1" t="n">
        <v>45979.36299768519</v>
      </c>
      <c r="C398" s="1" t="n">
        <v>46036</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56813-2025</t>
        </is>
      </c>
      <c r="B399" s="1" t="n">
        <v>45978.45585648148</v>
      </c>
      <c r="C399" s="1" t="n">
        <v>46036</v>
      </c>
      <c r="D399" t="inlineStr">
        <is>
          <t>DALARNAS LÄN</t>
        </is>
      </c>
      <c r="E399" t="inlineStr">
        <is>
          <t>ORSA</t>
        </is>
      </c>
      <c r="G399" t="n">
        <v>2</v>
      </c>
      <c r="H399" t="n">
        <v>0</v>
      </c>
      <c r="I399" t="n">
        <v>0</v>
      </c>
      <c r="J399" t="n">
        <v>0</v>
      </c>
      <c r="K399" t="n">
        <v>0</v>
      </c>
      <c r="L399" t="n">
        <v>0</v>
      </c>
      <c r="M399" t="n">
        <v>0</v>
      </c>
      <c r="N399" t="n">
        <v>0</v>
      </c>
      <c r="O399" t="n">
        <v>0</v>
      </c>
      <c r="P399" t="n">
        <v>0</v>
      </c>
      <c r="Q399" t="n">
        <v>0</v>
      </c>
      <c r="R399" s="2" t="inlineStr"/>
    </row>
    <row r="400" ht="15" customHeight="1">
      <c r="A400" t="inlineStr">
        <is>
          <t>A 57383-2025</t>
        </is>
      </c>
      <c r="B400" s="1" t="n">
        <v>45980.40871527778</v>
      </c>
      <c r="C400" s="1" t="n">
        <v>46036</v>
      </c>
      <c r="D400" t="inlineStr">
        <is>
          <t>DALARNAS LÄN</t>
        </is>
      </c>
      <c r="E400" t="inlineStr">
        <is>
          <t>ORSA</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18009-2023</t>
        </is>
      </c>
      <c r="B401" s="1" t="n">
        <v>45040.56190972222</v>
      </c>
      <c r="C401" s="1" t="n">
        <v>46036</v>
      </c>
      <c r="D401" t="inlineStr">
        <is>
          <t>DALARNAS LÄN</t>
        </is>
      </c>
      <c r="E401" t="inlineStr">
        <is>
          <t>ORSA</t>
        </is>
      </c>
      <c r="G401" t="n">
        <v>5.8</v>
      </c>
      <c r="H401" t="n">
        <v>0</v>
      </c>
      <c r="I401" t="n">
        <v>0</v>
      </c>
      <c r="J401" t="n">
        <v>0</v>
      </c>
      <c r="K401" t="n">
        <v>0</v>
      </c>
      <c r="L401" t="n">
        <v>0</v>
      </c>
      <c r="M401" t="n">
        <v>0</v>
      </c>
      <c r="N401" t="n">
        <v>0</v>
      </c>
      <c r="O401" t="n">
        <v>0</v>
      </c>
      <c r="P401" t="n">
        <v>0</v>
      </c>
      <c r="Q401" t="n">
        <v>0</v>
      </c>
      <c r="R401" s="2" t="inlineStr"/>
    </row>
    <row r="402" ht="15" customHeight="1">
      <c r="A402" t="inlineStr">
        <is>
          <t>A 64152-2025</t>
        </is>
      </c>
      <c r="B402" s="1" t="n">
        <v>46022.60030092593</v>
      </c>
      <c r="C402" s="1" t="n">
        <v>46036</v>
      </c>
      <c r="D402" t="inlineStr">
        <is>
          <t>DALARNAS LÄN</t>
        </is>
      </c>
      <c r="E402" t="inlineStr">
        <is>
          <t>ORSA</t>
        </is>
      </c>
      <c r="G402" t="n">
        <v>5</v>
      </c>
      <c r="H402" t="n">
        <v>0</v>
      </c>
      <c r="I402" t="n">
        <v>0</v>
      </c>
      <c r="J402" t="n">
        <v>0</v>
      </c>
      <c r="K402" t="n">
        <v>0</v>
      </c>
      <c r="L402" t="n">
        <v>0</v>
      </c>
      <c r="M402" t="n">
        <v>0</v>
      </c>
      <c r="N402" t="n">
        <v>0</v>
      </c>
      <c r="O402" t="n">
        <v>0</v>
      </c>
      <c r="P402" t="n">
        <v>0</v>
      </c>
      <c r="Q402" t="n">
        <v>0</v>
      </c>
      <c r="R402" s="2" t="inlineStr"/>
    </row>
    <row r="403" ht="15" customHeight="1">
      <c r="A403" t="inlineStr">
        <is>
          <t>A 64155-2025</t>
        </is>
      </c>
      <c r="B403" s="1" t="n">
        <v>46022.6519675926</v>
      </c>
      <c r="C403" s="1" t="n">
        <v>46036</v>
      </c>
      <c r="D403" t="inlineStr">
        <is>
          <t>DALARNAS LÄN</t>
        </is>
      </c>
      <c r="E403" t="inlineStr">
        <is>
          <t>ORSA</t>
        </is>
      </c>
      <c r="G403" t="n">
        <v>7</v>
      </c>
      <c r="H403" t="n">
        <v>0</v>
      </c>
      <c r="I403" t="n">
        <v>0</v>
      </c>
      <c r="J403" t="n">
        <v>0</v>
      </c>
      <c r="K403" t="n">
        <v>0</v>
      </c>
      <c r="L403" t="n">
        <v>0</v>
      </c>
      <c r="M403" t="n">
        <v>0</v>
      </c>
      <c r="N403" t="n">
        <v>0</v>
      </c>
      <c r="O403" t="n">
        <v>0</v>
      </c>
      <c r="P403" t="n">
        <v>0</v>
      </c>
      <c r="Q403" t="n">
        <v>0</v>
      </c>
      <c r="R403" s="2" t="inlineStr"/>
    </row>
    <row r="404" ht="15" customHeight="1">
      <c r="A404" t="inlineStr">
        <is>
          <t>A 57681-2025</t>
        </is>
      </c>
      <c r="B404" s="1" t="n">
        <v>45980.30490740741</v>
      </c>
      <c r="C404" s="1" t="n">
        <v>46036</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64133-2025</t>
        </is>
      </c>
      <c r="B405" s="1" t="n">
        <v>46022.32178240741</v>
      </c>
      <c r="C405" s="1" t="n">
        <v>46036</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5921-2025</t>
        </is>
      </c>
      <c r="B406" s="1" t="n">
        <v>45695</v>
      </c>
      <c r="C406" s="1" t="n">
        <v>46036</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64154-2025</t>
        </is>
      </c>
      <c r="B407" s="1" t="n">
        <v>46022.64425925926</v>
      </c>
      <c r="C407" s="1" t="n">
        <v>46036</v>
      </c>
      <c r="D407" t="inlineStr">
        <is>
          <t>DALARNAS LÄN</t>
        </is>
      </c>
      <c r="E407" t="inlineStr">
        <is>
          <t>ORSA</t>
        </is>
      </c>
      <c r="G407" t="n">
        <v>29.9</v>
      </c>
      <c r="H407" t="n">
        <v>0</v>
      </c>
      <c r="I407" t="n">
        <v>0</v>
      </c>
      <c r="J407" t="n">
        <v>0</v>
      </c>
      <c r="K407" t="n">
        <v>0</v>
      </c>
      <c r="L407" t="n">
        <v>0</v>
      </c>
      <c r="M407" t="n">
        <v>0</v>
      </c>
      <c r="N407" t="n">
        <v>0</v>
      </c>
      <c r="O407" t="n">
        <v>0</v>
      </c>
      <c r="P407" t="n">
        <v>0</v>
      </c>
      <c r="Q407" t="n">
        <v>0</v>
      </c>
      <c r="R407" s="2" t="inlineStr"/>
    </row>
    <row r="408" ht="15" customHeight="1">
      <c r="A408" t="inlineStr">
        <is>
          <t>A 41295-2021</t>
        </is>
      </c>
      <c r="B408" s="1" t="n">
        <v>44424</v>
      </c>
      <c r="C408" s="1" t="n">
        <v>46036</v>
      </c>
      <c r="D408" t="inlineStr">
        <is>
          <t>DALARNAS LÄN</t>
        </is>
      </c>
      <c r="E408" t="inlineStr">
        <is>
          <t>ORSA</t>
        </is>
      </c>
      <c r="G408" t="n">
        <v>3.1</v>
      </c>
      <c r="H408" t="n">
        <v>0</v>
      </c>
      <c r="I408" t="n">
        <v>0</v>
      </c>
      <c r="J408" t="n">
        <v>0</v>
      </c>
      <c r="K408" t="n">
        <v>0</v>
      </c>
      <c r="L408" t="n">
        <v>0</v>
      </c>
      <c r="M408" t="n">
        <v>0</v>
      </c>
      <c r="N408" t="n">
        <v>0</v>
      </c>
      <c r="O408" t="n">
        <v>0</v>
      </c>
      <c r="P408" t="n">
        <v>0</v>
      </c>
      <c r="Q408" t="n">
        <v>0</v>
      </c>
      <c r="R408" s="2" t="inlineStr"/>
    </row>
    <row r="409" ht="15" customHeight="1">
      <c r="A409" t="inlineStr">
        <is>
          <t>A 31031-2023</t>
        </is>
      </c>
      <c r="B409" s="1" t="n">
        <v>45113</v>
      </c>
      <c r="C409" s="1" t="n">
        <v>46036</v>
      </c>
      <c r="D409" t="inlineStr">
        <is>
          <t>DALARNAS LÄN</t>
        </is>
      </c>
      <c r="E409" t="inlineStr">
        <is>
          <t>ORSA</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39-2026</t>
        </is>
      </c>
      <c r="B410" s="1" t="n">
        <v>46024.39555555556</v>
      </c>
      <c r="C410" s="1" t="n">
        <v>46036</v>
      </c>
      <c r="D410" t="inlineStr">
        <is>
          <t>DALARNAS LÄN</t>
        </is>
      </c>
      <c r="E410" t="inlineStr">
        <is>
          <t>ORSA</t>
        </is>
      </c>
      <c r="G410" t="n">
        <v>2.8</v>
      </c>
      <c r="H410" t="n">
        <v>0</v>
      </c>
      <c r="I410" t="n">
        <v>0</v>
      </c>
      <c r="J410" t="n">
        <v>0</v>
      </c>
      <c r="K410" t="n">
        <v>0</v>
      </c>
      <c r="L410" t="n">
        <v>0</v>
      </c>
      <c r="M410" t="n">
        <v>0</v>
      </c>
      <c r="N410" t="n">
        <v>0</v>
      </c>
      <c r="O410" t="n">
        <v>0</v>
      </c>
      <c r="P410" t="n">
        <v>0</v>
      </c>
      <c r="Q410" t="n">
        <v>0</v>
      </c>
      <c r="R410" s="2" t="inlineStr"/>
    </row>
    <row r="411" ht="15" customHeight="1">
      <c r="A411" t="inlineStr">
        <is>
          <t>A 37-2026</t>
        </is>
      </c>
      <c r="B411" s="1" t="n">
        <v>46024.39104166667</v>
      </c>
      <c r="C411" s="1" t="n">
        <v>46036</v>
      </c>
      <c r="D411" t="inlineStr">
        <is>
          <t>DALARNAS LÄN</t>
        </is>
      </c>
      <c r="E411" t="inlineStr">
        <is>
          <t>ORSA</t>
        </is>
      </c>
      <c r="G411" t="n">
        <v>4.8</v>
      </c>
      <c r="H411" t="n">
        <v>0</v>
      </c>
      <c r="I411" t="n">
        <v>0</v>
      </c>
      <c r="J411" t="n">
        <v>0</v>
      </c>
      <c r="K411" t="n">
        <v>0</v>
      </c>
      <c r="L411" t="n">
        <v>0</v>
      </c>
      <c r="M411" t="n">
        <v>0</v>
      </c>
      <c r="N411" t="n">
        <v>0</v>
      </c>
      <c r="O411" t="n">
        <v>0</v>
      </c>
      <c r="P411" t="n">
        <v>0</v>
      </c>
      <c r="Q411" t="n">
        <v>0</v>
      </c>
      <c r="R411" s="2" t="inlineStr"/>
    </row>
    <row r="412" ht="15" customHeight="1">
      <c r="A412" t="inlineStr">
        <is>
          <t>A 27542-2021</t>
        </is>
      </c>
      <c r="B412" s="1" t="n">
        <v>44351</v>
      </c>
      <c r="C412" s="1" t="n">
        <v>46036</v>
      </c>
      <c r="D412" t="inlineStr">
        <is>
          <t>DALARNAS LÄN</t>
        </is>
      </c>
      <c r="E412" t="inlineStr">
        <is>
          <t>ORSA</t>
        </is>
      </c>
      <c r="G412" t="n">
        <v>1</v>
      </c>
      <c r="H412" t="n">
        <v>0</v>
      </c>
      <c r="I412" t="n">
        <v>0</v>
      </c>
      <c r="J412" t="n">
        <v>0</v>
      </c>
      <c r="K412" t="n">
        <v>0</v>
      </c>
      <c r="L412" t="n">
        <v>0</v>
      </c>
      <c r="M412" t="n">
        <v>0</v>
      </c>
      <c r="N412" t="n">
        <v>0</v>
      </c>
      <c r="O412" t="n">
        <v>0</v>
      </c>
      <c r="P412" t="n">
        <v>0</v>
      </c>
      <c r="Q412" t="n">
        <v>0</v>
      </c>
      <c r="R412" s="2" t="inlineStr"/>
    </row>
    <row r="413" ht="15" customHeight="1">
      <c r="A413" t="inlineStr">
        <is>
          <t>A 51-2026</t>
        </is>
      </c>
      <c r="B413" s="1" t="n">
        <v>46024.42144675926</v>
      </c>
      <c r="C413" s="1" t="n">
        <v>46036</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42238-2023</t>
        </is>
      </c>
      <c r="B414" s="1" t="n">
        <v>45180.34207175926</v>
      </c>
      <c r="C414" s="1" t="n">
        <v>46036</v>
      </c>
      <c r="D414" t="inlineStr">
        <is>
          <t>DALARNAS LÄN</t>
        </is>
      </c>
      <c r="E414" t="inlineStr">
        <is>
          <t>ORSA</t>
        </is>
      </c>
      <c r="F414" t="inlineStr">
        <is>
          <t>Allmännings- och besparingsskogar</t>
        </is>
      </c>
      <c r="G414" t="n">
        <v>0.5</v>
      </c>
      <c r="H414" t="n">
        <v>0</v>
      </c>
      <c r="I414" t="n">
        <v>0</v>
      </c>
      <c r="J414" t="n">
        <v>0</v>
      </c>
      <c r="K414" t="n">
        <v>0</v>
      </c>
      <c r="L414" t="n">
        <v>0</v>
      </c>
      <c r="M414" t="n">
        <v>0</v>
      </c>
      <c r="N414" t="n">
        <v>0</v>
      </c>
      <c r="O414" t="n">
        <v>0</v>
      </c>
      <c r="P414" t="n">
        <v>0</v>
      </c>
      <c r="Q414" t="n">
        <v>0</v>
      </c>
      <c r="R414" s="2" t="inlineStr"/>
    </row>
    <row r="415" ht="15" customHeight="1">
      <c r="A415" t="inlineStr">
        <is>
          <t>A 10832-2022</t>
        </is>
      </c>
      <c r="B415" s="1" t="n">
        <v>44627</v>
      </c>
      <c r="C415" s="1" t="n">
        <v>46036</v>
      </c>
      <c r="D415" t="inlineStr">
        <is>
          <t>DALARNAS LÄN</t>
        </is>
      </c>
      <c r="E415" t="inlineStr">
        <is>
          <t>ORSA</t>
        </is>
      </c>
      <c r="G415" t="n">
        <v>1.4</v>
      </c>
      <c r="H415" t="n">
        <v>0</v>
      </c>
      <c r="I415" t="n">
        <v>0</v>
      </c>
      <c r="J415" t="n">
        <v>0</v>
      </c>
      <c r="K415" t="n">
        <v>0</v>
      </c>
      <c r="L415" t="n">
        <v>0</v>
      </c>
      <c r="M415" t="n">
        <v>0</v>
      </c>
      <c r="N415" t="n">
        <v>0</v>
      </c>
      <c r="O415" t="n">
        <v>0</v>
      </c>
      <c r="P415" t="n">
        <v>0</v>
      </c>
      <c r="Q415" t="n">
        <v>0</v>
      </c>
      <c r="R415" s="2" t="inlineStr"/>
    </row>
    <row r="416" ht="15" customHeight="1">
      <c r="A416" t="inlineStr">
        <is>
          <t>A 144-2026</t>
        </is>
      </c>
      <c r="B416" s="1" t="n">
        <v>46024.63174768518</v>
      </c>
      <c r="C416" s="1" t="n">
        <v>46036</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36682-2024</t>
        </is>
      </c>
      <c r="B417" s="1" t="n">
        <v>45537.65519675926</v>
      </c>
      <c r="C417" s="1" t="n">
        <v>46036</v>
      </c>
      <c r="D417" t="inlineStr">
        <is>
          <t>DALARNAS LÄN</t>
        </is>
      </c>
      <c r="E417" t="inlineStr">
        <is>
          <t>ORSA</t>
        </is>
      </c>
      <c r="G417" t="n">
        <v>1.2</v>
      </c>
      <c r="H417" t="n">
        <v>0</v>
      </c>
      <c r="I417" t="n">
        <v>0</v>
      </c>
      <c r="J417" t="n">
        <v>0</v>
      </c>
      <c r="K417" t="n">
        <v>0</v>
      </c>
      <c r="L417" t="n">
        <v>0</v>
      </c>
      <c r="M417" t="n">
        <v>0</v>
      </c>
      <c r="N417" t="n">
        <v>0</v>
      </c>
      <c r="O417" t="n">
        <v>0</v>
      </c>
      <c r="P417" t="n">
        <v>0</v>
      </c>
      <c r="Q417" t="n">
        <v>0</v>
      </c>
      <c r="R417" s="2" t="inlineStr"/>
    </row>
    <row r="418" ht="15" customHeight="1">
      <c r="A418" t="inlineStr">
        <is>
          <t>A 58007-2025</t>
        </is>
      </c>
      <c r="B418" s="1" t="n">
        <v>45982.44907407407</v>
      </c>
      <c r="C418" s="1" t="n">
        <v>46036</v>
      </c>
      <c r="D418" t="inlineStr">
        <is>
          <t>DALARNAS LÄN</t>
        </is>
      </c>
      <c r="E418" t="inlineStr">
        <is>
          <t>ORSA</t>
        </is>
      </c>
      <c r="G418" t="n">
        <v>1.8</v>
      </c>
      <c r="H418" t="n">
        <v>0</v>
      </c>
      <c r="I418" t="n">
        <v>0</v>
      </c>
      <c r="J418" t="n">
        <v>0</v>
      </c>
      <c r="K418" t="n">
        <v>0</v>
      </c>
      <c r="L418" t="n">
        <v>0</v>
      </c>
      <c r="M418" t="n">
        <v>0</v>
      </c>
      <c r="N418" t="n">
        <v>0</v>
      </c>
      <c r="O418" t="n">
        <v>0</v>
      </c>
      <c r="P418" t="n">
        <v>0</v>
      </c>
      <c r="Q418" t="n">
        <v>0</v>
      </c>
      <c r="R418" s="2" t="inlineStr"/>
    </row>
    <row r="419" ht="15" customHeight="1">
      <c r="A419" t="inlineStr">
        <is>
          <t>A 55701-2023</t>
        </is>
      </c>
      <c r="B419" s="1" t="n">
        <v>45239.37113425926</v>
      </c>
      <c r="C419" s="1" t="n">
        <v>46036</v>
      </c>
      <c r="D419" t="inlineStr">
        <is>
          <t>DALARNAS LÄN</t>
        </is>
      </c>
      <c r="E419" t="inlineStr">
        <is>
          <t>ORSA</t>
        </is>
      </c>
      <c r="G419" t="n">
        <v>1.7</v>
      </c>
      <c r="H419" t="n">
        <v>0</v>
      </c>
      <c r="I419" t="n">
        <v>0</v>
      </c>
      <c r="J419" t="n">
        <v>0</v>
      </c>
      <c r="K419" t="n">
        <v>0</v>
      </c>
      <c r="L419" t="n">
        <v>0</v>
      </c>
      <c r="M419" t="n">
        <v>0</v>
      </c>
      <c r="N419" t="n">
        <v>0</v>
      </c>
      <c r="O419" t="n">
        <v>0</v>
      </c>
      <c r="P419" t="n">
        <v>0</v>
      </c>
      <c r="Q419" t="n">
        <v>0</v>
      </c>
      <c r="R419" s="2" t="inlineStr"/>
    </row>
    <row r="420" ht="15" customHeight="1">
      <c r="A420" t="inlineStr">
        <is>
          <t>A 384-2026</t>
        </is>
      </c>
      <c r="B420" s="1" t="n">
        <v>46027.80430555555</v>
      </c>
      <c r="C420" s="1" t="n">
        <v>46036</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101-2026</t>
        </is>
      </c>
      <c r="B421" s="1" t="n">
        <v>46024.51534722222</v>
      </c>
      <c r="C421" s="1" t="n">
        <v>46036</v>
      </c>
      <c r="D421" t="inlineStr">
        <is>
          <t>DALARNAS LÄN</t>
        </is>
      </c>
      <c r="E421" t="inlineStr">
        <is>
          <t>ORSA</t>
        </is>
      </c>
      <c r="G421" t="n">
        <v>1.1</v>
      </c>
      <c r="H421" t="n">
        <v>0</v>
      </c>
      <c r="I421" t="n">
        <v>0</v>
      </c>
      <c r="J421" t="n">
        <v>0</v>
      </c>
      <c r="K421" t="n">
        <v>0</v>
      </c>
      <c r="L421" t="n">
        <v>0</v>
      </c>
      <c r="M421" t="n">
        <v>0</v>
      </c>
      <c r="N421" t="n">
        <v>0</v>
      </c>
      <c r="O421" t="n">
        <v>0</v>
      </c>
      <c r="P421" t="n">
        <v>0</v>
      </c>
      <c r="Q421" t="n">
        <v>0</v>
      </c>
      <c r="R421" s="2" t="inlineStr"/>
    </row>
    <row r="422" ht="15" customHeight="1">
      <c r="A422" t="inlineStr">
        <is>
          <t>A 58681-2025</t>
        </is>
      </c>
      <c r="B422" s="1" t="n">
        <v>45986.56822916667</v>
      </c>
      <c r="C422" s="1" t="n">
        <v>46036</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58904-2025</t>
        </is>
      </c>
      <c r="B423" s="1" t="n">
        <v>45987.50958333333</v>
      </c>
      <c r="C423" s="1" t="n">
        <v>46036</v>
      </c>
      <c r="D423" t="inlineStr">
        <is>
          <t>DALARNAS LÄN</t>
        </is>
      </c>
      <c r="E423" t="inlineStr">
        <is>
          <t>ORSA</t>
        </is>
      </c>
      <c r="G423" t="n">
        <v>5.5</v>
      </c>
      <c r="H423" t="n">
        <v>0</v>
      </c>
      <c r="I423" t="n">
        <v>0</v>
      </c>
      <c r="J423" t="n">
        <v>0</v>
      </c>
      <c r="K423" t="n">
        <v>0</v>
      </c>
      <c r="L423" t="n">
        <v>0</v>
      </c>
      <c r="M423" t="n">
        <v>0</v>
      </c>
      <c r="N423" t="n">
        <v>0</v>
      </c>
      <c r="O423" t="n">
        <v>0</v>
      </c>
      <c r="P423" t="n">
        <v>0</v>
      </c>
      <c r="Q423" t="n">
        <v>0</v>
      </c>
      <c r="R423" s="2" t="inlineStr"/>
    </row>
    <row r="424" ht="15" customHeight="1">
      <c r="A424" t="inlineStr">
        <is>
          <t>A 58657-2025</t>
        </is>
      </c>
      <c r="B424" s="1" t="n">
        <v>45986.52584490741</v>
      </c>
      <c r="C424" s="1" t="n">
        <v>46036</v>
      </c>
      <c r="D424" t="inlineStr">
        <is>
          <t>DALARNAS LÄN</t>
        </is>
      </c>
      <c r="E424" t="inlineStr">
        <is>
          <t>ORSA</t>
        </is>
      </c>
      <c r="G424" t="n">
        <v>1.6</v>
      </c>
      <c r="H424" t="n">
        <v>0</v>
      </c>
      <c r="I424" t="n">
        <v>0</v>
      </c>
      <c r="J424" t="n">
        <v>0</v>
      </c>
      <c r="K424" t="n">
        <v>0</v>
      </c>
      <c r="L424" t="n">
        <v>0</v>
      </c>
      <c r="M424" t="n">
        <v>0</v>
      </c>
      <c r="N424" t="n">
        <v>0</v>
      </c>
      <c r="O424" t="n">
        <v>0</v>
      </c>
      <c r="P424" t="n">
        <v>0</v>
      </c>
      <c r="Q424" t="n">
        <v>0</v>
      </c>
      <c r="R424" s="2" t="inlineStr"/>
    </row>
    <row r="425" ht="15" customHeight="1">
      <c r="A425" t="inlineStr">
        <is>
          <t>A 58834-2025</t>
        </is>
      </c>
      <c r="B425" s="1" t="n">
        <v>45987.35487268519</v>
      </c>
      <c r="C425" s="1" t="n">
        <v>46036</v>
      </c>
      <c r="D425" t="inlineStr">
        <is>
          <t>DALARNAS LÄN</t>
        </is>
      </c>
      <c r="E425" t="inlineStr">
        <is>
          <t>ORSA</t>
        </is>
      </c>
      <c r="G425" t="n">
        <v>3.6</v>
      </c>
      <c r="H425" t="n">
        <v>0</v>
      </c>
      <c r="I425" t="n">
        <v>0</v>
      </c>
      <c r="J425" t="n">
        <v>0</v>
      </c>
      <c r="K425" t="n">
        <v>0</v>
      </c>
      <c r="L425" t="n">
        <v>0</v>
      </c>
      <c r="M425" t="n">
        <v>0</v>
      </c>
      <c r="N425" t="n">
        <v>0</v>
      </c>
      <c r="O425" t="n">
        <v>0</v>
      </c>
      <c r="P425" t="n">
        <v>0</v>
      </c>
      <c r="Q425" t="n">
        <v>0</v>
      </c>
      <c r="R425" s="2" t="inlineStr"/>
    </row>
    <row r="426" ht="15" customHeight="1">
      <c r="A426" t="inlineStr">
        <is>
          <t>A 58691-2025</t>
        </is>
      </c>
      <c r="B426" s="1" t="n">
        <v>45986.58231481481</v>
      </c>
      <c r="C426" s="1" t="n">
        <v>46036</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58923-2025</t>
        </is>
      </c>
      <c r="B427" s="1" t="n">
        <v>45987.54099537037</v>
      </c>
      <c r="C427" s="1" t="n">
        <v>46036</v>
      </c>
      <c r="D427" t="inlineStr">
        <is>
          <t>DALARNAS LÄN</t>
        </is>
      </c>
      <c r="E427" t="inlineStr">
        <is>
          <t>ORSA</t>
        </is>
      </c>
      <c r="G427" t="n">
        <v>0.6</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45113.8637037037</v>
      </c>
      <c r="C428" s="1" t="n">
        <v>46036</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58910-2025</t>
        </is>
      </c>
      <c r="B429" s="1" t="n">
        <v>45987.51534722222</v>
      </c>
      <c r="C429" s="1" t="n">
        <v>46036</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58686-2025</t>
        </is>
      </c>
      <c r="B430" s="1" t="n">
        <v>45986.57303240741</v>
      </c>
      <c r="C430" s="1" t="n">
        <v>46036</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58647-2025</t>
        </is>
      </c>
      <c r="B431" s="1" t="n">
        <v>45986.50476851852</v>
      </c>
      <c r="C431" s="1" t="n">
        <v>46036</v>
      </c>
      <c r="D431" t="inlineStr">
        <is>
          <t>DALARNAS LÄN</t>
        </is>
      </c>
      <c r="E431" t="inlineStr">
        <is>
          <t>ORSA</t>
        </is>
      </c>
      <c r="G431" t="n">
        <v>2.8</v>
      </c>
      <c r="H431" t="n">
        <v>0</v>
      </c>
      <c r="I431" t="n">
        <v>0</v>
      </c>
      <c r="J431" t="n">
        <v>0</v>
      </c>
      <c r="K431" t="n">
        <v>0</v>
      </c>
      <c r="L431" t="n">
        <v>0</v>
      </c>
      <c r="M431" t="n">
        <v>0</v>
      </c>
      <c r="N431" t="n">
        <v>0</v>
      </c>
      <c r="O431" t="n">
        <v>0</v>
      </c>
      <c r="P431" t="n">
        <v>0</v>
      </c>
      <c r="Q431" t="n">
        <v>0</v>
      </c>
      <c r="R431" s="2" t="inlineStr"/>
    </row>
    <row r="432" ht="15" customHeight="1">
      <c r="A432" t="inlineStr">
        <is>
          <t>A 58886-2025</t>
        </is>
      </c>
      <c r="B432" s="1" t="n">
        <v>45987.48171296297</v>
      </c>
      <c r="C432" s="1" t="n">
        <v>46036</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58683-2025</t>
        </is>
      </c>
      <c r="B433" s="1" t="n">
        <v>45986.56949074074</v>
      </c>
      <c r="C433" s="1" t="n">
        <v>46036</v>
      </c>
      <c r="D433" t="inlineStr">
        <is>
          <t>DALARNAS LÄN</t>
        </is>
      </c>
      <c r="E433" t="inlineStr">
        <is>
          <t>ORSA</t>
        </is>
      </c>
      <c r="G433" t="n">
        <v>0.6</v>
      </c>
      <c r="H433" t="n">
        <v>0</v>
      </c>
      <c r="I433" t="n">
        <v>0</v>
      </c>
      <c r="J433" t="n">
        <v>0</v>
      </c>
      <c r="K433" t="n">
        <v>0</v>
      </c>
      <c r="L433" t="n">
        <v>0</v>
      </c>
      <c r="M433" t="n">
        <v>0</v>
      </c>
      <c r="N433" t="n">
        <v>0</v>
      </c>
      <c r="O433" t="n">
        <v>0</v>
      </c>
      <c r="P433" t="n">
        <v>0</v>
      </c>
      <c r="Q433" t="n">
        <v>0</v>
      </c>
      <c r="R433" s="2" t="inlineStr"/>
    </row>
    <row r="434" ht="15" customHeight="1">
      <c r="A434" t="inlineStr">
        <is>
          <t>A 19108-2025</t>
        </is>
      </c>
      <c r="B434" s="1" t="n">
        <v>45768</v>
      </c>
      <c r="C434" s="1" t="n">
        <v>46036</v>
      </c>
      <c r="D434" t="inlineStr">
        <is>
          <t>DALARNAS LÄN</t>
        </is>
      </c>
      <c r="E434" t="inlineStr">
        <is>
          <t>ORSA</t>
        </is>
      </c>
      <c r="F434" t="inlineStr">
        <is>
          <t>Bergvik skog väst AB</t>
        </is>
      </c>
      <c r="G434" t="n">
        <v>14.3</v>
      </c>
      <c r="H434" t="n">
        <v>0</v>
      </c>
      <c r="I434" t="n">
        <v>0</v>
      </c>
      <c r="J434" t="n">
        <v>0</v>
      </c>
      <c r="K434" t="n">
        <v>0</v>
      </c>
      <c r="L434" t="n">
        <v>0</v>
      </c>
      <c r="M434" t="n">
        <v>0</v>
      </c>
      <c r="N434" t="n">
        <v>0</v>
      </c>
      <c r="O434" t="n">
        <v>0</v>
      </c>
      <c r="P434" t="n">
        <v>0</v>
      </c>
      <c r="Q434" t="n">
        <v>0</v>
      </c>
      <c r="R434" s="2" t="inlineStr"/>
    </row>
    <row r="435" ht="15" customHeight="1">
      <c r="A435" t="inlineStr">
        <is>
          <t>A 52649-2024</t>
        </is>
      </c>
      <c r="B435" s="1" t="n">
        <v>45610.3468287037</v>
      </c>
      <c r="C435" s="1" t="n">
        <v>46036</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60337-2025</t>
        </is>
      </c>
      <c r="B436" s="1" t="n">
        <v>45994</v>
      </c>
      <c r="C436" s="1" t="n">
        <v>46036</v>
      </c>
      <c r="D436" t="inlineStr">
        <is>
          <t>DALARNAS LÄN</t>
        </is>
      </c>
      <c r="E436" t="inlineStr">
        <is>
          <t>ORSA</t>
        </is>
      </c>
      <c r="G436" t="n">
        <v>6.8</v>
      </c>
      <c r="H436" t="n">
        <v>0</v>
      </c>
      <c r="I436" t="n">
        <v>0</v>
      </c>
      <c r="J436" t="n">
        <v>0</v>
      </c>
      <c r="K436" t="n">
        <v>0</v>
      </c>
      <c r="L436" t="n">
        <v>0</v>
      </c>
      <c r="M436" t="n">
        <v>0</v>
      </c>
      <c r="N436" t="n">
        <v>0</v>
      </c>
      <c r="O436" t="n">
        <v>0</v>
      </c>
      <c r="P436" t="n">
        <v>0</v>
      </c>
      <c r="Q436" t="n">
        <v>0</v>
      </c>
      <c r="R436" s="2" t="inlineStr"/>
    </row>
    <row r="437" ht="15" customHeight="1">
      <c r="A437" t="inlineStr">
        <is>
          <t>A 59149-2025</t>
        </is>
      </c>
      <c r="B437" s="1" t="n">
        <v>45988.52844907407</v>
      </c>
      <c r="C437" s="1" t="n">
        <v>46036</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63790-2025</t>
        </is>
      </c>
      <c r="B438" s="1" t="n">
        <v>46019</v>
      </c>
      <c r="C438" s="1" t="n">
        <v>46036</v>
      </c>
      <c r="D438" t="inlineStr">
        <is>
          <t>DALARNAS LÄN</t>
        </is>
      </c>
      <c r="E438" t="inlineStr">
        <is>
          <t>ORSA</t>
        </is>
      </c>
      <c r="G438" t="n">
        <v>3.7</v>
      </c>
      <c r="H438" t="n">
        <v>0</v>
      </c>
      <c r="I438" t="n">
        <v>0</v>
      </c>
      <c r="J438" t="n">
        <v>0</v>
      </c>
      <c r="K438" t="n">
        <v>0</v>
      </c>
      <c r="L438" t="n">
        <v>0</v>
      </c>
      <c r="M438" t="n">
        <v>0</v>
      </c>
      <c r="N438" t="n">
        <v>0</v>
      </c>
      <c r="O438" t="n">
        <v>0</v>
      </c>
      <c r="P438" t="n">
        <v>0</v>
      </c>
      <c r="Q438" t="n">
        <v>0</v>
      </c>
      <c r="R438" s="2" t="inlineStr"/>
    </row>
    <row r="439" ht="15" customHeight="1">
      <c r="A439" t="inlineStr">
        <is>
          <t>A 59114-2025</t>
        </is>
      </c>
      <c r="B439" s="1" t="n">
        <v>45988.4884375</v>
      </c>
      <c r="C439" s="1" t="n">
        <v>46036</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59124-2025</t>
        </is>
      </c>
      <c r="B440" s="1" t="n">
        <v>45988.4934375</v>
      </c>
      <c r="C440" s="1" t="n">
        <v>46036</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1304-2024</t>
        </is>
      </c>
      <c r="B441" s="1" t="n">
        <v>45303</v>
      </c>
      <c r="C441" s="1" t="n">
        <v>46036</v>
      </c>
      <c r="D441" t="inlineStr">
        <is>
          <t>DALARNAS LÄN</t>
        </is>
      </c>
      <c r="E441" t="inlineStr">
        <is>
          <t>ORSA</t>
        </is>
      </c>
      <c r="G441" t="n">
        <v>3.8</v>
      </c>
      <c r="H441" t="n">
        <v>0</v>
      </c>
      <c r="I441" t="n">
        <v>0</v>
      </c>
      <c r="J441" t="n">
        <v>0</v>
      </c>
      <c r="K441" t="n">
        <v>0</v>
      </c>
      <c r="L441" t="n">
        <v>0</v>
      </c>
      <c r="M441" t="n">
        <v>0</v>
      </c>
      <c r="N441" t="n">
        <v>0</v>
      </c>
      <c r="O441" t="n">
        <v>0</v>
      </c>
      <c r="P441" t="n">
        <v>0</v>
      </c>
      <c r="Q441" t="n">
        <v>0</v>
      </c>
      <c r="R441" s="2" t="inlineStr"/>
    </row>
    <row r="442" ht="15" customHeight="1">
      <c r="A442" t="inlineStr">
        <is>
          <t>A 51289-2023</t>
        </is>
      </c>
      <c r="B442" s="1" t="n">
        <v>45219.54077546296</v>
      </c>
      <c r="C442" s="1" t="n">
        <v>46036</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976-2026</t>
        </is>
      </c>
      <c r="B443" s="1" t="n">
        <v>46030.57034722222</v>
      </c>
      <c r="C443" s="1" t="n">
        <v>46036</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1735-2026</t>
        </is>
      </c>
      <c r="B444" s="1" t="n">
        <v>46034.63842592593</v>
      </c>
      <c r="C444" s="1" t="n">
        <v>46036</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1967-2026</t>
        </is>
      </c>
      <c r="B445" s="1" t="n">
        <v>46035.63864583334</v>
      </c>
      <c r="C445" s="1" t="n">
        <v>46036</v>
      </c>
      <c r="D445" t="inlineStr">
        <is>
          <t>DALARNAS LÄN</t>
        </is>
      </c>
      <c r="E445" t="inlineStr">
        <is>
          <t>ORSA</t>
        </is>
      </c>
      <c r="G445" t="n">
        <v>6.3</v>
      </c>
      <c r="H445" t="n">
        <v>0</v>
      </c>
      <c r="I445" t="n">
        <v>0</v>
      </c>
      <c r="J445" t="n">
        <v>0</v>
      </c>
      <c r="K445" t="n">
        <v>0</v>
      </c>
      <c r="L445" t="n">
        <v>0</v>
      </c>
      <c r="M445" t="n">
        <v>0</v>
      </c>
      <c r="N445" t="n">
        <v>0</v>
      </c>
      <c r="O445" t="n">
        <v>0</v>
      </c>
      <c r="P445" t="n">
        <v>0</v>
      </c>
      <c r="Q445" t="n">
        <v>0</v>
      </c>
      <c r="R445" s="2" t="inlineStr"/>
    </row>
    <row r="446" ht="15" customHeight="1">
      <c r="A446" t="inlineStr">
        <is>
          <t>A 23339-2024</t>
        </is>
      </c>
      <c r="B446" s="1" t="n">
        <v>45453.48988425926</v>
      </c>
      <c r="C446" s="1" t="n">
        <v>46036</v>
      </c>
      <c r="D446" t="inlineStr">
        <is>
          <t>DALARNAS LÄN</t>
        </is>
      </c>
      <c r="E446" t="inlineStr">
        <is>
          <t>ORSA</t>
        </is>
      </c>
      <c r="G446" t="n">
        <v>3.8</v>
      </c>
      <c r="H446" t="n">
        <v>0</v>
      </c>
      <c r="I446" t="n">
        <v>0</v>
      </c>
      <c r="J446" t="n">
        <v>0</v>
      </c>
      <c r="K446" t="n">
        <v>0</v>
      </c>
      <c r="L446" t="n">
        <v>0</v>
      </c>
      <c r="M446" t="n">
        <v>0</v>
      </c>
      <c r="N446" t="n">
        <v>0</v>
      </c>
      <c r="O446" t="n">
        <v>0</v>
      </c>
      <c r="P446" t="n">
        <v>0</v>
      </c>
      <c r="Q446" t="n">
        <v>0</v>
      </c>
      <c r="R446" s="2" t="inlineStr"/>
    </row>
    <row r="447" ht="15" customHeight="1">
      <c r="A447" t="inlineStr">
        <is>
          <t>A 37647-2023</t>
        </is>
      </c>
      <c r="B447" s="1" t="n">
        <v>45159</v>
      </c>
      <c r="C447" s="1" t="n">
        <v>46036</v>
      </c>
      <c r="D447" t="inlineStr">
        <is>
          <t>DALARNAS LÄN</t>
        </is>
      </c>
      <c r="E447" t="inlineStr">
        <is>
          <t>ORSA</t>
        </is>
      </c>
      <c r="F447" t="inlineStr">
        <is>
          <t>Allmännings- och besparingsskogar</t>
        </is>
      </c>
      <c r="G447" t="n">
        <v>2.1</v>
      </c>
      <c r="H447" t="n">
        <v>0</v>
      </c>
      <c r="I447" t="n">
        <v>0</v>
      </c>
      <c r="J447" t="n">
        <v>0</v>
      </c>
      <c r="K447" t="n">
        <v>0</v>
      </c>
      <c r="L447" t="n">
        <v>0</v>
      </c>
      <c r="M447" t="n">
        <v>0</v>
      </c>
      <c r="N447" t="n">
        <v>0</v>
      </c>
      <c r="O447" t="n">
        <v>0</v>
      </c>
      <c r="P447" t="n">
        <v>0</v>
      </c>
      <c r="Q447" t="n">
        <v>0</v>
      </c>
      <c r="R447" s="2" t="inlineStr"/>
    </row>
    <row r="448" ht="15" customHeight="1">
      <c r="A448" t="inlineStr">
        <is>
          <t>A 59909-2025</t>
        </is>
      </c>
      <c r="B448" s="1" t="n">
        <v>45993.35644675926</v>
      </c>
      <c r="C448" s="1" t="n">
        <v>46036</v>
      </c>
      <c r="D448" t="inlineStr">
        <is>
          <t>DALARNAS LÄN</t>
        </is>
      </c>
      <c r="E448" t="inlineStr">
        <is>
          <t>ORSA</t>
        </is>
      </c>
      <c r="G448" t="n">
        <v>3.5</v>
      </c>
      <c r="H448" t="n">
        <v>0</v>
      </c>
      <c r="I448" t="n">
        <v>0</v>
      </c>
      <c r="J448" t="n">
        <v>0</v>
      </c>
      <c r="K448" t="n">
        <v>0</v>
      </c>
      <c r="L448" t="n">
        <v>0</v>
      </c>
      <c r="M448" t="n">
        <v>0</v>
      </c>
      <c r="N448" t="n">
        <v>0</v>
      </c>
      <c r="O448" t="n">
        <v>0</v>
      </c>
      <c r="P448" t="n">
        <v>0</v>
      </c>
      <c r="Q448" t="n">
        <v>0</v>
      </c>
      <c r="R448" s="2" t="inlineStr"/>
    </row>
    <row r="449" ht="15" customHeight="1">
      <c r="A449" t="inlineStr">
        <is>
          <t>A 1650-2026</t>
        </is>
      </c>
      <c r="B449" s="1" t="n">
        <v>46034.52905092593</v>
      </c>
      <c r="C449" s="1" t="n">
        <v>46036</v>
      </c>
      <c r="D449" t="inlineStr">
        <is>
          <t>DALARNAS LÄN</t>
        </is>
      </c>
      <c r="E449" t="inlineStr">
        <is>
          <t>ORSA</t>
        </is>
      </c>
      <c r="G449" t="n">
        <v>6.8</v>
      </c>
      <c r="H449" t="n">
        <v>0</v>
      </c>
      <c r="I449" t="n">
        <v>0</v>
      </c>
      <c r="J449" t="n">
        <v>0</v>
      </c>
      <c r="K449" t="n">
        <v>0</v>
      </c>
      <c r="L449" t="n">
        <v>0</v>
      </c>
      <c r="M449" t="n">
        <v>0</v>
      </c>
      <c r="N449" t="n">
        <v>0</v>
      </c>
      <c r="O449" t="n">
        <v>0</v>
      </c>
      <c r="P449" t="n">
        <v>0</v>
      </c>
      <c r="Q449" t="n">
        <v>0</v>
      </c>
      <c r="R449" s="2" t="inlineStr"/>
    </row>
    <row r="450" ht="15" customHeight="1">
      <c r="A450" t="inlineStr">
        <is>
          <t>A 31026-2023</t>
        </is>
      </c>
      <c r="B450" s="1" t="n">
        <v>45113.5812962963</v>
      </c>
      <c r="C450" s="1" t="n">
        <v>46036</v>
      </c>
      <c r="D450" t="inlineStr">
        <is>
          <t>DALARNAS LÄN</t>
        </is>
      </c>
      <c r="E450" t="inlineStr">
        <is>
          <t>ORSA</t>
        </is>
      </c>
      <c r="F450" t="inlineStr">
        <is>
          <t>Bergvik skog öst AB</t>
        </is>
      </c>
      <c r="G450" t="n">
        <v>0.5</v>
      </c>
      <c r="H450" t="n">
        <v>0</v>
      </c>
      <c r="I450" t="n">
        <v>0</v>
      </c>
      <c r="J450" t="n">
        <v>0</v>
      </c>
      <c r="K450" t="n">
        <v>0</v>
      </c>
      <c r="L450" t="n">
        <v>0</v>
      </c>
      <c r="M450" t="n">
        <v>0</v>
      </c>
      <c r="N450" t="n">
        <v>0</v>
      </c>
      <c r="O450" t="n">
        <v>0</v>
      </c>
      <c r="P450" t="n">
        <v>0</v>
      </c>
      <c r="Q450" t="n">
        <v>0</v>
      </c>
      <c r="R450" s="2" t="inlineStr"/>
    </row>
    <row r="451" ht="15" customHeight="1">
      <c r="A451" t="inlineStr">
        <is>
          <t>A 1580-2026</t>
        </is>
      </c>
      <c r="B451" s="1" t="n">
        <v>46034.42577546297</v>
      </c>
      <c r="C451" s="1" t="n">
        <v>46036</v>
      </c>
      <c r="D451" t="inlineStr">
        <is>
          <t>DALARNAS LÄN</t>
        </is>
      </c>
      <c r="E451" t="inlineStr">
        <is>
          <t>ORSA</t>
        </is>
      </c>
      <c r="G451" t="n">
        <v>3.8</v>
      </c>
      <c r="H451" t="n">
        <v>0</v>
      </c>
      <c r="I451" t="n">
        <v>0</v>
      </c>
      <c r="J451" t="n">
        <v>0</v>
      </c>
      <c r="K451" t="n">
        <v>0</v>
      </c>
      <c r="L451" t="n">
        <v>0</v>
      </c>
      <c r="M451" t="n">
        <v>0</v>
      </c>
      <c r="N451" t="n">
        <v>0</v>
      </c>
      <c r="O451" t="n">
        <v>0</v>
      </c>
      <c r="P451" t="n">
        <v>0</v>
      </c>
      <c r="Q451" t="n">
        <v>0</v>
      </c>
      <c r="R451" s="2" t="inlineStr"/>
    </row>
    <row r="452" ht="15" customHeight="1">
      <c r="A452" t="inlineStr">
        <is>
          <t>A 30458-2023</t>
        </is>
      </c>
      <c r="B452" s="1" t="n">
        <v>45111</v>
      </c>
      <c r="C452" s="1" t="n">
        <v>46036</v>
      </c>
      <c r="D452" t="inlineStr">
        <is>
          <t>DALARNAS LÄN</t>
        </is>
      </c>
      <c r="E452" t="inlineStr">
        <is>
          <t>ORSA</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14680-2023</t>
        </is>
      </c>
      <c r="B453" s="1" t="n">
        <v>45014.30054398148</v>
      </c>
      <c r="C453" s="1" t="n">
        <v>46036</v>
      </c>
      <c r="D453" t="inlineStr">
        <is>
          <t>DALARNAS LÄN</t>
        </is>
      </c>
      <c r="E453" t="inlineStr">
        <is>
          <t>ORSA</t>
        </is>
      </c>
      <c r="G453" t="n">
        <v>4.2</v>
      </c>
      <c r="H453" t="n">
        <v>0</v>
      </c>
      <c r="I453" t="n">
        <v>0</v>
      </c>
      <c r="J453" t="n">
        <v>0</v>
      </c>
      <c r="K453" t="n">
        <v>0</v>
      </c>
      <c r="L453" t="n">
        <v>0</v>
      </c>
      <c r="M453" t="n">
        <v>0</v>
      </c>
      <c r="N453" t="n">
        <v>0</v>
      </c>
      <c r="O453" t="n">
        <v>0</v>
      </c>
      <c r="P453" t="n">
        <v>0</v>
      </c>
      <c r="Q453" t="n">
        <v>0</v>
      </c>
      <c r="R453" s="2" t="inlineStr"/>
    </row>
    <row r="454" ht="15" customHeight="1">
      <c r="A454" t="inlineStr">
        <is>
          <t>A 4738-2025</t>
        </is>
      </c>
      <c r="B454" s="1" t="n">
        <v>45688</v>
      </c>
      <c r="C454" s="1" t="n">
        <v>46036</v>
      </c>
      <c r="D454" t="inlineStr">
        <is>
          <t>DALARNAS LÄN</t>
        </is>
      </c>
      <c r="E454" t="inlineStr">
        <is>
          <t>ORSA</t>
        </is>
      </c>
      <c r="G454" t="n">
        <v>3.7</v>
      </c>
      <c r="H454" t="n">
        <v>0</v>
      </c>
      <c r="I454" t="n">
        <v>0</v>
      </c>
      <c r="J454" t="n">
        <v>0</v>
      </c>
      <c r="K454" t="n">
        <v>0</v>
      </c>
      <c r="L454" t="n">
        <v>0</v>
      </c>
      <c r="M454" t="n">
        <v>0</v>
      </c>
      <c r="N454" t="n">
        <v>0</v>
      </c>
      <c r="O454" t="n">
        <v>0</v>
      </c>
      <c r="P454" t="n">
        <v>0</v>
      </c>
      <c r="Q454" t="n">
        <v>0</v>
      </c>
      <c r="R454" s="2" t="inlineStr"/>
    </row>
    <row r="455" ht="15" customHeight="1">
      <c r="A455" t="inlineStr">
        <is>
          <t>A 2948-2025</t>
        </is>
      </c>
      <c r="B455" s="1" t="n">
        <v>45678.42868055555</v>
      </c>
      <c r="C455" s="1" t="n">
        <v>46036</v>
      </c>
      <c r="D455" t="inlineStr">
        <is>
          <t>DALARNAS LÄN</t>
        </is>
      </c>
      <c r="E455" t="inlineStr">
        <is>
          <t>ORSA</t>
        </is>
      </c>
      <c r="G455" t="n">
        <v>2</v>
      </c>
      <c r="H455" t="n">
        <v>0</v>
      </c>
      <c r="I455" t="n">
        <v>0</v>
      </c>
      <c r="J455" t="n">
        <v>0</v>
      </c>
      <c r="K455" t="n">
        <v>0</v>
      </c>
      <c r="L455" t="n">
        <v>0</v>
      </c>
      <c r="M455" t="n">
        <v>0</v>
      </c>
      <c r="N455" t="n">
        <v>0</v>
      </c>
      <c r="O455" t="n">
        <v>0</v>
      </c>
      <c r="P455" t="n">
        <v>0</v>
      </c>
      <c r="Q455" t="n">
        <v>0</v>
      </c>
      <c r="R455" s="2" t="inlineStr"/>
    </row>
    <row r="456" ht="15" customHeight="1">
      <c r="A456" t="inlineStr">
        <is>
          <t>A 61698-2022</t>
        </is>
      </c>
      <c r="B456" s="1" t="n">
        <v>44917.40038194445</v>
      </c>
      <c r="C456" s="1" t="n">
        <v>46036</v>
      </c>
      <c r="D456" t="inlineStr">
        <is>
          <t>DALARNAS LÄN</t>
        </is>
      </c>
      <c r="E456" t="inlineStr">
        <is>
          <t>ORSA</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61034-2024</t>
        </is>
      </c>
      <c r="B457" s="1" t="n">
        <v>45645.46608796297</v>
      </c>
      <c r="C457" s="1" t="n">
        <v>46036</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12704-2022</t>
        </is>
      </c>
      <c r="B458" s="1" t="n">
        <v>44641</v>
      </c>
      <c r="C458" s="1" t="n">
        <v>46036</v>
      </c>
      <c r="D458" t="inlineStr">
        <is>
          <t>DALARNAS LÄN</t>
        </is>
      </c>
      <c r="E458" t="inlineStr">
        <is>
          <t>ORSA</t>
        </is>
      </c>
      <c r="G458" t="n">
        <v>2.4</v>
      </c>
      <c r="H458" t="n">
        <v>0</v>
      </c>
      <c r="I458" t="n">
        <v>0</v>
      </c>
      <c r="J458" t="n">
        <v>0</v>
      </c>
      <c r="K458" t="n">
        <v>0</v>
      </c>
      <c r="L458" t="n">
        <v>0</v>
      </c>
      <c r="M458" t="n">
        <v>0</v>
      </c>
      <c r="N458" t="n">
        <v>0</v>
      </c>
      <c r="O458" t="n">
        <v>0</v>
      </c>
      <c r="P458" t="n">
        <v>0</v>
      </c>
      <c r="Q458" t="n">
        <v>0</v>
      </c>
      <c r="R458" s="2" t="inlineStr"/>
    </row>
    <row r="459" ht="15" customHeight="1">
      <c r="A459" t="inlineStr">
        <is>
          <t>A 38611-2022</t>
        </is>
      </c>
      <c r="B459" s="1" t="n">
        <v>44813.60177083333</v>
      </c>
      <c r="C459" s="1" t="n">
        <v>46036</v>
      </c>
      <c r="D459" t="inlineStr">
        <is>
          <t>DALARNAS LÄN</t>
        </is>
      </c>
      <c r="E459" t="inlineStr">
        <is>
          <t>ORSA</t>
        </is>
      </c>
      <c r="G459" t="n">
        <v>3.6</v>
      </c>
      <c r="H459" t="n">
        <v>0</v>
      </c>
      <c r="I459" t="n">
        <v>0</v>
      </c>
      <c r="J459" t="n">
        <v>0</v>
      </c>
      <c r="K459" t="n">
        <v>0</v>
      </c>
      <c r="L459" t="n">
        <v>0</v>
      </c>
      <c r="M459" t="n">
        <v>0</v>
      </c>
      <c r="N459" t="n">
        <v>0</v>
      </c>
      <c r="O459" t="n">
        <v>0</v>
      </c>
      <c r="P459" t="n">
        <v>0</v>
      </c>
      <c r="Q459" t="n">
        <v>0</v>
      </c>
      <c r="R459" s="2" t="inlineStr"/>
    </row>
    <row r="460" ht="15" customHeight="1">
      <c r="A460" t="inlineStr">
        <is>
          <t>A 59411-2024</t>
        </is>
      </c>
      <c r="B460" s="1" t="n">
        <v>45638.39675925926</v>
      </c>
      <c r="C460" s="1" t="n">
        <v>46036</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59414-2024</t>
        </is>
      </c>
      <c r="B461" s="1" t="n">
        <v>45638.39965277778</v>
      </c>
      <c r="C461" s="1" t="n">
        <v>46036</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612-2025</t>
        </is>
      </c>
      <c r="B462" s="1" t="n">
        <v>45660</v>
      </c>
      <c r="C462" s="1" t="n">
        <v>46036</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4202-2025</t>
        </is>
      </c>
      <c r="B463" s="1" t="n">
        <v>45685.46236111111</v>
      </c>
      <c r="C463" s="1" t="n">
        <v>46036</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4204-2025</t>
        </is>
      </c>
      <c r="B464" s="1" t="n">
        <v>45685.46390046296</v>
      </c>
      <c r="C464" s="1" t="n">
        <v>46036</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55538-2023</t>
        </is>
      </c>
      <c r="B465" s="1" t="n">
        <v>45238.5996875</v>
      </c>
      <c r="C465" s="1" t="n">
        <v>46036</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48819-2024</t>
        </is>
      </c>
      <c r="B466" s="1" t="n">
        <v>45593.67824074074</v>
      </c>
      <c r="C466" s="1" t="n">
        <v>46036</v>
      </c>
      <c r="D466" t="inlineStr">
        <is>
          <t>DALARNAS LÄN</t>
        </is>
      </c>
      <c r="E466" t="inlineStr">
        <is>
          <t>ORSA</t>
        </is>
      </c>
      <c r="G466" t="n">
        <v>5</v>
      </c>
      <c r="H466" t="n">
        <v>0</v>
      </c>
      <c r="I466" t="n">
        <v>0</v>
      </c>
      <c r="J466" t="n">
        <v>0</v>
      </c>
      <c r="K466" t="n">
        <v>0</v>
      </c>
      <c r="L466" t="n">
        <v>0</v>
      </c>
      <c r="M466" t="n">
        <v>0</v>
      </c>
      <c r="N466" t="n">
        <v>0</v>
      </c>
      <c r="O466" t="n">
        <v>0</v>
      </c>
      <c r="P466" t="n">
        <v>0</v>
      </c>
      <c r="Q466" t="n">
        <v>0</v>
      </c>
      <c r="R466" s="2" t="inlineStr"/>
    </row>
    <row r="467" ht="15" customHeight="1">
      <c r="A467" t="inlineStr">
        <is>
          <t>A 55580-2024</t>
        </is>
      </c>
      <c r="B467" s="1" t="n">
        <v>45622.56038194444</v>
      </c>
      <c r="C467" s="1" t="n">
        <v>46036</v>
      </c>
      <c r="D467" t="inlineStr">
        <is>
          <t>DALARNAS LÄN</t>
        </is>
      </c>
      <c r="E467" t="inlineStr">
        <is>
          <t>ORSA</t>
        </is>
      </c>
      <c r="G467" t="n">
        <v>2</v>
      </c>
      <c r="H467" t="n">
        <v>0</v>
      </c>
      <c r="I467" t="n">
        <v>0</v>
      </c>
      <c r="J467" t="n">
        <v>0</v>
      </c>
      <c r="K467" t="n">
        <v>0</v>
      </c>
      <c r="L467" t="n">
        <v>0</v>
      </c>
      <c r="M467" t="n">
        <v>0</v>
      </c>
      <c r="N467" t="n">
        <v>0</v>
      </c>
      <c r="O467" t="n">
        <v>0</v>
      </c>
      <c r="P467" t="n">
        <v>0</v>
      </c>
      <c r="Q467" t="n">
        <v>0</v>
      </c>
      <c r="R467" s="2" t="inlineStr"/>
    </row>
    <row r="468" ht="15" customHeight="1">
      <c r="A468" t="inlineStr">
        <is>
          <t>A 48518-2024</t>
        </is>
      </c>
      <c r="B468" s="1" t="n">
        <v>45593.31915509259</v>
      </c>
      <c r="C468" s="1" t="n">
        <v>46036</v>
      </c>
      <c r="D468" t="inlineStr">
        <is>
          <t>DALARNAS LÄN</t>
        </is>
      </c>
      <c r="E468" t="inlineStr">
        <is>
          <t>ORSA</t>
        </is>
      </c>
      <c r="G468" t="n">
        <v>1.9</v>
      </c>
      <c r="H468" t="n">
        <v>0</v>
      </c>
      <c r="I468" t="n">
        <v>0</v>
      </c>
      <c r="J468" t="n">
        <v>0</v>
      </c>
      <c r="K468" t="n">
        <v>0</v>
      </c>
      <c r="L468" t="n">
        <v>0</v>
      </c>
      <c r="M468" t="n">
        <v>0</v>
      </c>
      <c r="N468" t="n">
        <v>0</v>
      </c>
      <c r="O468" t="n">
        <v>0</v>
      </c>
      <c r="P468" t="n">
        <v>0</v>
      </c>
      <c r="Q468" t="n">
        <v>0</v>
      </c>
      <c r="R468" s="2" t="inlineStr"/>
    </row>
    <row r="469" ht="15" customHeight="1">
      <c r="A469" t="inlineStr">
        <is>
          <t>A 20588-2025</t>
        </is>
      </c>
      <c r="B469" s="1" t="n">
        <v>45775</v>
      </c>
      <c r="C469" s="1" t="n">
        <v>46036</v>
      </c>
      <c r="D469" t="inlineStr">
        <is>
          <t>DALARNAS LÄN</t>
        </is>
      </c>
      <c r="E469" t="inlineStr">
        <is>
          <t>ORSA</t>
        </is>
      </c>
      <c r="G469" t="n">
        <v>1.7</v>
      </c>
      <c r="H469" t="n">
        <v>0</v>
      </c>
      <c r="I469" t="n">
        <v>0</v>
      </c>
      <c r="J469" t="n">
        <v>0</v>
      </c>
      <c r="K469" t="n">
        <v>0</v>
      </c>
      <c r="L469" t="n">
        <v>0</v>
      </c>
      <c r="M469" t="n">
        <v>0</v>
      </c>
      <c r="N469" t="n">
        <v>0</v>
      </c>
      <c r="O469" t="n">
        <v>0</v>
      </c>
      <c r="P469" t="n">
        <v>0</v>
      </c>
      <c r="Q469" t="n">
        <v>0</v>
      </c>
      <c r="R469" s="2" t="inlineStr"/>
    </row>
    <row r="470" ht="15" customHeight="1">
      <c r="A470" t="inlineStr">
        <is>
          <t>A 20589-2025</t>
        </is>
      </c>
      <c r="B470" s="1" t="n">
        <v>45775</v>
      </c>
      <c r="C470" s="1" t="n">
        <v>46036</v>
      </c>
      <c r="D470" t="inlineStr">
        <is>
          <t>DALARNAS LÄN</t>
        </is>
      </c>
      <c r="E470" t="inlineStr">
        <is>
          <t>ORSA</t>
        </is>
      </c>
      <c r="G470" t="n">
        <v>2</v>
      </c>
      <c r="H470" t="n">
        <v>0</v>
      </c>
      <c r="I470" t="n">
        <v>0</v>
      </c>
      <c r="J470" t="n">
        <v>0</v>
      </c>
      <c r="K470" t="n">
        <v>0</v>
      </c>
      <c r="L470" t="n">
        <v>0</v>
      </c>
      <c r="M470" t="n">
        <v>0</v>
      </c>
      <c r="N470" t="n">
        <v>0</v>
      </c>
      <c r="O470" t="n">
        <v>0</v>
      </c>
      <c r="P470" t="n">
        <v>0</v>
      </c>
      <c r="Q470" t="n">
        <v>0</v>
      </c>
      <c r="R470" s="2" t="inlineStr"/>
    </row>
    <row r="471" ht="15" customHeight="1">
      <c r="A471" t="inlineStr">
        <is>
          <t>A 37981-2024</t>
        </is>
      </c>
      <c r="B471" s="1" t="n">
        <v>45544</v>
      </c>
      <c r="C471" s="1" t="n">
        <v>46036</v>
      </c>
      <c r="D471" t="inlineStr">
        <is>
          <t>DALARNAS LÄN</t>
        </is>
      </c>
      <c r="E471" t="inlineStr">
        <is>
          <t>ORSA</t>
        </is>
      </c>
      <c r="F471" t="inlineStr">
        <is>
          <t>Allmännings- och besparingsskogar</t>
        </is>
      </c>
      <c r="G471" t="n">
        <v>1.2</v>
      </c>
      <c r="H471" t="n">
        <v>0</v>
      </c>
      <c r="I471" t="n">
        <v>0</v>
      </c>
      <c r="J471" t="n">
        <v>0</v>
      </c>
      <c r="K471" t="n">
        <v>0</v>
      </c>
      <c r="L471" t="n">
        <v>0</v>
      </c>
      <c r="M471" t="n">
        <v>0</v>
      </c>
      <c r="N471" t="n">
        <v>0</v>
      </c>
      <c r="O471" t="n">
        <v>0</v>
      </c>
      <c r="P471" t="n">
        <v>0</v>
      </c>
      <c r="Q471" t="n">
        <v>0</v>
      </c>
      <c r="R471" s="2" t="inlineStr"/>
    </row>
    <row r="472" ht="15" customHeight="1">
      <c r="A472" t="inlineStr">
        <is>
          <t>A 597-2024</t>
        </is>
      </c>
      <c r="B472" s="1" t="n">
        <v>45299.63410879629</v>
      </c>
      <c r="C472" s="1" t="n">
        <v>46036</v>
      </c>
      <c r="D472" t="inlineStr">
        <is>
          <t>DALARNAS LÄN</t>
        </is>
      </c>
      <c r="E472" t="inlineStr">
        <is>
          <t>ORSA</t>
        </is>
      </c>
      <c r="G472" t="n">
        <v>4.4</v>
      </c>
      <c r="H472" t="n">
        <v>0</v>
      </c>
      <c r="I472" t="n">
        <v>0</v>
      </c>
      <c r="J472" t="n">
        <v>0</v>
      </c>
      <c r="K472" t="n">
        <v>0</v>
      </c>
      <c r="L472" t="n">
        <v>0</v>
      </c>
      <c r="M472" t="n">
        <v>0</v>
      </c>
      <c r="N472" t="n">
        <v>0</v>
      </c>
      <c r="O472" t="n">
        <v>0</v>
      </c>
      <c r="P472" t="n">
        <v>0</v>
      </c>
      <c r="Q472" t="n">
        <v>0</v>
      </c>
      <c r="R472" s="2" t="inlineStr"/>
    </row>
    <row r="473" ht="15" customHeight="1">
      <c r="A473" t="inlineStr">
        <is>
          <t>A 51915-2022</t>
        </is>
      </c>
      <c r="B473" s="1" t="n">
        <v>44872.62795138889</v>
      </c>
      <c r="C473" s="1" t="n">
        <v>46036</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986-2025</t>
        </is>
      </c>
      <c r="B474" s="1" t="n">
        <v>45666.42952546296</v>
      </c>
      <c r="C474" s="1" t="n">
        <v>46036</v>
      </c>
      <c r="D474" t="inlineStr">
        <is>
          <t>DALARNAS LÄN</t>
        </is>
      </c>
      <c r="E474" t="inlineStr">
        <is>
          <t>ORSA</t>
        </is>
      </c>
      <c r="G474" t="n">
        <v>5.7</v>
      </c>
      <c r="H474" t="n">
        <v>0</v>
      </c>
      <c r="I474" t="n">
        <v>0</v>
      </c>
      <c r="J474" t="n">
        <v>0</v>
      </c>
      <c r="K474" t="n">
        <v>0</v>
      </c>
      <c r="L474" t="n">
        <v>0</v>
      </c>
      <c r="M474" t="n">
        <v>0</v>
      </c>
      <c r="N474" t="n">
        <v>0</v>
      </c>
      <c r="O474" t="n">
        <v>0</v>
      </c>
      <c r="P474" t="n">
        <v>0</v>
      </c>
      <c r="Q474" t="n">
        <v>0</v>
      </c>
      <c r="R474" s="2" t="inlineStr"/>
    </row>
    <row r="475" ht="15" customHeight="1">
      <c r="A475" t="inlineStr">
        <is>
          <t>A 37931-2023</t>
        </is>
      </c>
      <c r="B475" s="1" t="n">
        <v>45160.51721064815</v>
      </c>
      <c r="C475" s="1" t="n">
        <v>46036</v>
      </c>
      <c r="D475" t="inlineStr">
        <is>
          <t>DALARNAS LÄN</t>
        </is>
      </c>
      <c r="E475" t="inlineStr">
        <is>
          <t>ORSA</t>
        </is>
      </c>
      <c r="G475" t="n">
        <v>2.6</v>
      </c>
      <c r="H475" t="n">
        <v>0</v>
      </c>
      <c r="I475" t="n">
        <v>0</v>
      </c>
      <c r="J475" t="n">
        <v>0</v>
      </c>
      <c r="K475" t="n">
        <v>0</v>
      </c>
      <c r="L475" t="n">
        <v>0</v>
      </c>
      <c r="M475" t="n">
        <v>0</v>
      </c>
      <c r="N475" t="n">
        <v>0</v>
      </c>
      <c r="O475" t="n">
        <v>0</v>
      </c>
      <c r="P475" t="n">
        <v>0</v>
      </c>
      <c r="Q475" t="n">
        <v>0</v>
      </c>
      <c r="R475" s="2" t="inlineStr"/>
    </row>
    <row r="476" ht="15" customHeight="1">
      <c r="A476" t="inlineStr">
        <is>
          <t>A 42513-2024</t>
        </is>
      </c>
      <c r="B476" s="1" t="n">
        <v>45565.53810185185</v>
      </c>
      <c r="C476" s="1" t="n">
        <v>46036</v>
      </c>
      <c r="D476" t="inlineStr">
        <is>
          <t>DALARNAS LÄN</t>
        </is>
      </c>
      <c r="E476" t="inlineStr">
        <is>
          <t>ORSA</t>
        </is>
      </c>
      <c r="G476" t="n">
        <v>1.6</v>
      </c>
      <c r="H476" t="n">
        <v>0</v>
      </c>
      <c r="I476" t="n">
        <v>0</v>
      </c>
      <c r="J476" t="n">
        <v>0</v>
      </c>
      <c r="K476" t="n">
        <v>0</v>
      </c>
      <c r="L476" t="n">
        <v>0</v>
      </c>
      <c r="M476" t="n">
        <v>0</v>
      </c>
      <c r="N476" t="n">
        <v>0</v>
      </c>
      <c r="O476" t="n">
        <v>0</v>
      </c>
      <c r="P476" t="n">
        <v>0</v>
      </c>
      <c r="Q476" t="n">
        <v>0</v>
      </c>
      <c r="R476" s="2" t="inlineStr"/>
    </row>
    <row r="477" ht="15" customHeight="1">
      <c r="A477" t="inlineStr">
        <is>
          <t>A 42517-2024</t>
        </is>
      </c>
      <c r="B477" s="1" t="n">
        <v>45565.54078703704</v>
      </c>
      <c r="C477" s="1" t="n">
        <v>46036</v>
      </c>
      <c r="D477" t="inlineStr">
        <is>
          <t>DALARNAS LÄN</t>
        </is>
      </c>
      <c r="E477" t="inlineStr">
        <is>
          <t>ORSA</t>
        </is>
      </c>
      <c r="G477" t="n">
        <v>3</v>
      </c>
      <c r="H477" t="n">
        <v>0</v>
      </c>
      <c r="I477" t="n">
        <v>0</v>
      </c>
      <c r="J477" t="n">
        <v>0</v>
      </c>
      <c r="K477" t="n">
        <v>0</v>
      </c>
      <c r="L477" t="n">
        <v>0</v>
      </c>
      <c r="M477" t="n">
        <v>0</v>
      </c>
      <c r="N477" t="n">
        <v>0</v>
      </c>
      <c r="O477" t="n">
        <v>0</v>
      </c>
      <c r="P477" t="n">
        <v>0</v>
      </c>
      <c r="Q477" t="n">
        <v>0</v>
      </c>
      <c r="R477" s="2" t="inlineStr"/>
    </row>
    <row r="478" ht="15" customHeight="1">
      <c r="A478" t="inlineStr">
        <is>
          <t>A 33488-2024</t>
        </is>
      </c>
      <c r="B478" s="1" t="n">
        <v>45519.61466435185</v>
      </c>
      <c r="C478" s="1" t="n">
        <v>46036</v>
      </c>
      <c r="D478" t="inlineStr">
        <is>
          <t>DALARNAS LÄN</t>
        </is>
      </c>
      <c r="E478" t="inlineStr">
        <is>
          <t>ORSA</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15766-2025</t>
        </is>
      </c>
      <c r="B479" s="1" t="n">
        <v>45748.58409722222</v>
      </c>
      <c r="C479" s="1" t="n">
        <v>46036</v>
      </c>
      <c r="D479" t="inlineStr">
        <is>
          <t>DALARNAS LÄN</t>
        </is>
      </c>
      <c r="E479" t="inlineStr">
        <is>
          <t>ORSA</t>
        </is>
      </c>
      <c r="F479" t="inlineStr">
        <is>
          <t>Bergvik skog öst AB</t>
        </is>
      </c>
      <c r="G479" t="n">
        <v>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45203.40004629629</v>
      </c>
      <c r="C480" s="1" t="n">
        <v>46036</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50061-2024</t>
        </is>
      </c>
      <c r="B481" s="1" t="n">
        <v>45600.34721064815</v>
      </c>
      <c r="C481" s="1" t="n">
        <v>46036</v>
      </c>
      <c r="D481" t="inlineStr">
        <is>
          <t>DALARNAS LÄN</t>
        </is>
      </c>
      <c r="E481" t="inlineStr">
        <is>
          <t>ORSA</t>
        </is>
      </c>
      <c r="G481" t="n">
        <v>1.3</v>
      </c>
      <c r="H481" t="n">
        <v>0</v>
      </c>
      <c r="I481" t="n">
        <v>0</v>
      </c>
      <c r="J481" t="n">
        <v>0</v>
      </c>
      <c r="K481" t="n">
        <v>0</v>
      </c>
      <c r="L481" t="n">
        <v>0</v>
      </c>
      <c r="M481" t="n">
        <v>0</v>
      </c>
      <c r="N481" t="n">
        <v>0</v>
      </c>
      <c r="O481" t="n">
        <v>0</v>
      </c>
      <c r="P481" t="n">
        <v>0</v>
      </c>
      <c r="Q481" t="n">
        <v>0</v>
      </c>
      <c r="R481" s="2" t="inlineStr"/>
    </row>
    <row r="482" ht="15" customHeight="1">
      <c r="A482" t="inlineStr">
        <is>
          <t>A 61277-2023</t>
        </is>
      </c>
      <c r="B482" s="1" t="n">
        <v>45264.52465277778</v>
      </c>
      <c r="C482" s="1" t="n">
        <v>46036</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33945-2022</t>
        </is>
      </c>
      <c r="B483" s="1" t="n">
        <v>44790.66212962963</v>
      </c>
      <c r="C483" s="1" t="n">
        <v>46036</v>
      </c>
      <c r="D483" t="inlineStr">
        <is>
          <t>DALARNAS LÄN</t>
        </is>
      </c>
      <c r="E483" t="inlineStr">
        <is>
          <t>ORSA</t>
        </is>
      </c>
      <c r="F483" t="inlineStr">
        <is>
          <t>Bergvik skog öst AB</t>
        </is>
      </c>
      <c r="G483" t="n">
        <v>1.9</v>
      </c>
      <c r="H483" t="n">
        <v>0</v>
      </c>
      <c r="I483" t="n">
        <v>0</v>
      </c>
      <c r="J483" t="n">
        <v>0</v>
      </c>
      <c r="K483" t="n">
        <v>0</v>
      </c>
      <c r="L483" t="n">
        <v>0</v>
      </c>
      <c r="M483" t="n">
        <v>0</v>
      </c>
      <c r="N483" t="n">
        <v>0</v>
      </c>
      <c r="O483" t="n">
        <v>0</v>
      </c>
      <c r="P483" t="n">
        <v>0</v>
      </c>
      <c r="Q483" t="n">
        <v>0</v>
      </c>
      <c r="R483" s="2" t="inlineStr"/>
    </row>
    <row r="484" ht="15" customHeight="1">
      <c r="A484" t="inlineStr">
        <is>
          <t>A 61053-2024</t>
        </is>
      </c>
      <c r="B484" s="1" t="n">
        <v>45645.48501157408</v>
      </c>
      <c r="C484" s="1" t="n">
        <v>46036</v>
      </c>
      <c r="D484" t="inlineStr">
        <is>
          <t>DALARNAS LÄN</t>
        </is>
      </c>
      <c r="E484" t="inlineStr">
        <is>
          <t>ORSA</t>
        </is>
      </c>
      <c r="G484" t="n">
        <v>2.6</v>
      </c>
      <c r="H484" t="n">
        <v>0</v>
      </c>
      <c r="I484" t="n">
        <v>0</v>
      </c>
      <c r="J484" t="n">
        <v>0</v>
      </c>
      <c r="K484" t="n">
        <v>0</v>
      </c>
      <c r="L484" t="n">
        <v>0</v>
      </c>
      <c r="M484" t="n">
        <v>0</v>
      </c>
      <c r="N484" t="n">
        <v>0</v>
      </c>
      <c r="O484" t="n">
        <v>0</v>
      </c>
      <c r="P484" t="n">
        <v>0</v>
      </c>
      <c r="Q484" t="n">
        <v>0</v>
      </c>
      <c r="R484" s="2" t="inlineStr"/>
    </row>
    <row r="485" ht="15" customHeight="1">
      <c r="A485" t="inlineStr">
        <is>
          <t>A 22911-2023</t>
        </is>
      </c>
      <c r="B485" s="1" t="n">
        <v>45072</v>
      </c>
      <c r="C485" s="1" t="n">
        <v>46036</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15769-2025</t>
        </is>
      </c>
      <c r="B486" s="1" t="n">
        <v>45748.58792824074</v>
      </c>
      <c r="C486" s="1" t="n">
        <v>46036</v>
      </c>
      <c r="D486" t="inlineStr">
        <is>
          <t>DALARNAS LÄN</t>
        </is>
      </c>
      <c r="E486" t="inlineStr">
        <is>
          <t>ORSA</t>
        </is>
      </c>
      <c r="F486" t="inlineStr">
        <is>
          <t>Bergvik skog öst AB</t>
        </is>
      </c>
      <c r="G486" t="n">
        <v>4.7</v>
      </c>
      <c r="H486" t="n">
        <v>0</v>
      </c>
      <c r="I486" t="n">
        <v>0</v>
      </c>
      <c r="J486" t="n">
        <v>0</v>
      </c>
      <c r="K486" t="n">
        <v>0</v>
      </c>
      <c r="L486" t="n">
        <v>0</v>
      </c>
      <c r="M486" t="n">
        <v>0</v>
      </c>
      <c r="N486" t="n">
        <v>0</v>
      </c>
      <c r="O486" t="n">
        <v>0</v>
      </c>
      <c r="P486" t="n">
        <v>0</v>
      </c>
      <c r="Q486" t="n">
        <v>0</v>
      </c>
      <c r="R486" s="2" t="inlineStr"/>
    </row>
    <row r="487" ht="15" customHeight="1">
      <c r="A487" t="inlineStr">
        <is>
          <t>A 21216-2023</t>
        </is>
      </c>
      <c r="B487" s="1" t="n">
        <v>45062</v>
      </c>
      <c r="C487" s="1" t="n">
        <v>46036</v>
      </c>
      <c r="D487" t="inlineStr">
        <is>
          <t>DALARNAS LÄN</t>
        </is>
      </c>
      <c r="E487" t="inlineStr">
        <is>
          <t>ORSA</t>
        </is>
      </c>
      <c r="F487" t="inlineStr">
        <is>
          <t>Bergvik skog öst AB</t>
        </is>
      </c>
      <c r="G487" t="n">
        <v>3.8</v>
      </c>
      <c r="H487" t="n">
        <v>0</v>
      </c>
      <c r="I487" t="n">
        <v>0</v>
      </c>
      <c r="J487" t="n">
        <v>0</v>
      </c>
      <c r="K487" t="n">
        <v>0</v>
      </c>
      <c r="L487" t="n">
        <v>0</v>
      </c>
      <c r="M487" t="n">
        <v>0</v>
      </c>
      <c r="N487" t="n">
        <v>0</v>
      </c>
      <c r="O487" t="n">
        <v>0</v>
      </c>
      <c r="P487" t="n">
        <v>0</v>
      </c>
      <c r="Q487" t="n">
        <v>0</v>
      </c>
      <c r="R487" s="2" t="inlineStr"/>
    </row>
    <row r="488" ht="15" customHeight="1">
      <c r="A488" t="inlineStr">
        <is>
          <t>A 30382-2023</t>
        </is>
      </c>
      <c r="B488" s="1" t="n">
        <v>45111</v>
      </c>
      <c r="C488" s="1" t="n">
        <v>46036</v>
      </c>
      <c r="D488" t="inlineStr">
        <is>
          <t>DALARNAS LÄN</t>
        </is>
      </c>
      <c r="E488" t="inlineStr">
        <is>
          <t>ORSA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37852-2024</t>
        </is>
      </c>
      <c r="B489" s="1" t="n">
        <v>45544.3786574074</v>
      </c>
      <c r="C489" s="1" t="n">
        <v>46036</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53717-2024</t>
        </is>
      </c>
      <c r="B490" s="1" t="n">
        <v>45615.43141203704</v>
      </c>
      <c r="C490" s="1" t="n">
        <v>46036</v>
      </c>
      <c r="D490" t="inlineStr">
        <is>
          <t>DALARNAS LÄN</t>
        </is>
      </c>
      <c r="E490" t="inlineStr">
        <is>
          <t>ORSA</t>
        </is>
      </c>
      <c r="G490" t="n">
        <v>1.5</v>
      </c>
      <c r="H490" t="n">
        <v>0</v>
      </c>
      <c r="I490" t="n">
        <v>0</v>
      </c>
      <c r="J490" t="n">
        <v>0</v>
      </c>
      <c r="K490" t="n">
        <v>0</v>
      </c>
      <c r="L490" t="n">
        <v>0</v>
      </c>
      <c r="M490" t="n">
        <v>0</v>
      </c>
      <c r="N490" t="n">
        <v>0</v>
      </c>
      <c r="O490" t="n">
        <v>0</v>
      </c>
      <c r="P490" t="n">
        <v>0</v>
      </c>
      <c r="Q490" t="n">
        <v>0</v>
      </c>
      <c r="R490" s="2" t="inlineStr"/>
    </row>
    <row r="491" ht="15" customHeight="1">
      <c r="A491" t="inlineStr">
        <is>
          <t>A 31688-2024</t>
        </is>
      </c>
      <c r="B491" s="1" t="n">
        <v>45507.46103009259</v>
      </c>
      <c r="C491" s="1" t="n">
        <v>46036</v>
      </c>
      <c r="D491" t="inlineStr">
        <is>
          <t>DALARNAS LÄN</t>
        </is>
      </c>
      <c r="E491" t="inlineStr">
        <is>
          <t>ORSA</t>
        </is>
      </c>
      <c r="G491" t="n">
        <v>0.7</v>
      </c>
      <c r="H491" t="n">
        <v>0</v>
      </c>
      <c r="I491" t="n">
        <v>0</v>
      </c>
      <c r="J491" t="n">
        <v>0</v>
      </c>
      <c r="K491" t="n">
        <v>0</v>
      </c>
      <c r="L491" t="n">
        <v>0</v>
      </c>
      <c r="M491" t="n">
        <v>0</v>
      </c>
      <c r="N491" t="n">
        <v>0</v>
      </c>
      <c r="O491" t="n">
        <v>0</v>
      </c>
      <c r="P491" t="n">
        <v>0</v>
      </c>
      <c r="Q491" t="n">
        <v>0</v>
      </c>
      <c r="R491" s="2" t="inlineStr"/>
    </row>
    <row r="492" ht="15" customHeight="1">
      <c r="A492" t="inlineStr">
        <is>
          <t>A 56706-2021</t>
        </is>
      </c>
      <c r="B492" s="1" t="n">
        <v>44481.4037962963</v>
      </c>
      <c r="C492" s="1" t="n">
        <v>46036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50999-2021</t>
        </is>
      </c>
      <c r="B493" s="1" t="n">
        <v>44460.85565972222</v>
      </c>
      <c r="C493" s="1" t="n">
        <v>46036</v>
      </c>
      <c r="D493" t="inlineStr">
        <is>
          <t>DALARNAS LÄN</t>
        </is>
      </c>
      <c r="E493" t="inlineStr">
        <is>
          <t>ORSA</t>
        </is>
      </c>
      <c r="G493" t="n">
        <v>3</v>
      </c>
      <c r="H493" t="n">
        <v>0</v>
      </c>
      <c r="I493" t="n">
        <v>0</v>
      </c>
      <c r="J493" t="n">
        <v>0</v>
      </c>
      <c r="K493" t="n">
        <v>0</v>
      </c>
      <c r="L493" t="n">
        <v>0</v>
      </c>
      <c r="M493" t="n">
        <v>0</v>
      </c>
      <c r="N493" t="n">
        <v>0</v>
      </c>
      <c r="O493" t="n">
        <v>0</v>
      </c>
      <c r="P493" t="n">
        <v>0</v>
      </c>
      <c r="Q493" t="n">
        <v>0</v>
      </c>
      <c r="R493" s="2" t="inlineStr"/>
    </row>
    <row r="494" ht="15" customHeight="1">
      <c r="A494" t="inlineStr">
        <is>
          <t>A 27877-2021</t>
        </is>
      </c>
      <c r="B494" s="1" t="n">
        <v>44354.6446875</v>
      </c>
      <c r="C494" s="1" t="n">
        <v>46036</v>
      </c>
      <c r="D494" t="inlineStr">
        <is>
          <t>DALARNAS LÄN</t>
        </is>
      </c>
      <c r="E494" t="inlineStr">
        <is>
          <t>ORSA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28082-2023</t>
        </is>
      </c>
      <c r="B495" s="1" t="n">
        <v>45099</v>
      </c>
      <c r="C495" s="1" t="n">
        <v>46036</v>
      </c>
      <c r="D495" t="inlineStr">
        <is>
          <t>DALARNAS LÄN</t>
        </is>
      </c>
      <c r="E495" t="inlineStr">
        <is>
          <t>ORSA</t>
        </is>
      </c>
      <c r="G495" t="n">
        <v>0.4</v>
      </c>
      <c r="H495" t="n">
        <v>0</v>
      </c>
      <c r="I495" t="n">
        <v>0</v>
      </c>
      <c r="J495" t="n">
        <v>0</v>
      </c>
      <c r="K495" t="n">
        <v>0</v>
      </c>
      <c r="L495" t="n">
        <v>0</v>
      </c>
      <c r="M495" t="n">
        <v>0</v>
      </c>
      <c r="N495" t="n">
        <v>0</v>
      </c>
      <c r="O495" t="n">
        <v>0</v>
      </c>
      <c r="P495" t="n">
        <v>0</v>
      </c>
      <c r="Q495" t="n">
        <v>0</v>
      </c>
      <c r="R495" s="2" t="inlineStr"/>
    </row>
    <row r="496" ht="15" customHeight="1">
      <c r="A496" t="inlineStr">
        <is>
          <t>A 4553-2025</t>
        </is>
      </c>
      <c r="B496" s="1" t="n">
        <v>45687.42143518518</v>
      </c>
      <c r="C496" s="1" t="n">
        <v>46036</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45222.44800925926</v>
      </c>
      <c r="C497" s="1" t="n">
        <v>46036</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17518-2025</t>
        </is>
      </c>
      <c r="B498" s="1" t="n">
        <v>45757.57597222222</v>
      </c>
      <c r="C498" s="1" t="n">
        <v>46036</v>
      </c>
      <c r="D498" t="inlineStr">
        <is>
          <t>DALARNAS LÄN</t>
        </is>
      </c>
      <c r="E498" t="inlineStr">
        <is>
          <t>ORSA</t>
        </is>
      </c>
      <c r="F498" t="inlineStr">
        <is>
          <t>Bergvik skog öst AB</t>
        </is>
      </c>
      <c r="G498" t="n">
        <v>7.3</v>
      </c>
      <c r="H498" t="n">
        <v>0</v>
      </c>
      <c r="I498" t="n">
        <v>0</v>
      </c>
      <c r="J498" t="n">
        <v>0</v>
      </c>
      <c r="K498" t="n">
        <v>0</v>
      </c>
      <c r="L498" t="n">
        <v>0</v>
      </c>
      <c r="M498" t="n">
        <v>0</v>
      </c>
      <c r="N498" t="n">
        <v>0</v>
      </c>
      <c r="O498" t="n">
        <v>0</v>
      </c>
      <c r="P498" t="n">
        <v>0</v>
      </c>
      <c r="Q498" t="n">
        <v>0</v>
      </c>
      <c r="R498" s="2" t="inlineStr"/>
    </row>
    <row r="499" ht="15" customHeight="1">
      <c r="A499" t="inlineStr">
        <is>
          <t>A 29485-2022</t>
        </is>
      </c>
      <c r="B499" s="1" t="n">
        <v>44753</v>
      </c>
      <c r="C499" s="1" t="n">
        <v>46036</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9466-2023</t>
        </is>
      </c>
      <c r="B500" s="1" t="n">
        <v>44981</v>
      </c>
      <c r="C500" s="1" t="n">
        <v>46036</v>
      </c>
      <c r="D500" t="inlineStr">
        <is>
          <t>DALARNAS LÄN</t>
        </is>
      </c>
      <c r="E500" t="inlineStr">
        <is>
          <t>ORSA</t>
        </is>
      </c>
      <c r="F500" t="inlineStr">
        <is>
          <t>Bergvik skog väst AB</t>
        </is>
      </c>
      <c r="G500" t="n">
        <v>3.8</v>
      </c>
      <c r="H500" t="n">
        <v>0</v>
      </c>
      <c r="I500" t="n">
        <v>0</v>
      </c>
      <c r="J500" t="n">
        <v>0</v>
      </c>
      <c r="K500" t="n">
        <v>0</v>
      </c>
      <c r="L500" t="n">
        <v>0</v>
      </c>
      <c r="M500" t="n">
        <v>0</v>
      </c>
      <c r="N500" t="n">
        <v>0</v>
      </c>
      <c r="O500" t="n">
        <v>0</v>
      </c>
      <c r="P500" t="n">
        <v>0</v>
      </c>
      <c r="Q500" t="n">
        <v>0</v>
      </c>
      <c r="R500" s="2" t="inlineStr"/>
    </row>
    <row r="501" ht="15" customHeight="1">
      <c r="A501" t="inlineStr">
        <is>
          <t>A 23461-2023</t>
        </is>
      </c>
      <c r="B501" s="1" t="n">
        <v>45076</v>
      </c>
      <c r="C501" s="1" t="n">
        <v>46036</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30290-2024</t>
        </is>
      </c>
      <c r="B502" s="1" t="n">
        <v>45490.64681712963</v>
      </c>
      <c r="C502" s="1" t="n">
        <v>46036</v>
      </c>
      <c r="D502" t="inlineStr">
        <is>
          <t>DALARNAS LÄN</t>
        </is>
      </c>
      <c r="E502" t="inlineStr">
        <is>
          <t>ORSA</t>
        </is>
      </c>
      <c r="F502" t="inlineStr">
        <is>
          <t>Bergvik skog öst AB</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37836-2024</t>
        </is>
      </c>
      <c r="B503" s="1" t="n">
        <v>45544.35747685185</v>
      </c>
      <c r="C503" s="1" t="n">
        <v>46036</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34374-2024</t>
        </is>
      </c>
      <c r="B504" s="1" t="n">
        <v>45525.40091435185</v>
      </c>
      <c r="C504" s="1" t="n">
        <v>46036</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54546-2024</t>
        </is>
      </c>
      <c r="B505" s="1" t="n">
        <v>45617.61476851852</v>
      </c>
      <c r="C505" s="1" t="n">
        <v>46036</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55534-2023</t>
        </is>
      </c>
      <c r="B506" s="1" t="n">
        <v>45238</v>
      </c>
      <c r="C506" s="1" t="n">
        <v>46036</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10261-2022</t>
        </is>
      </c>
      <c r="B507" s="1" t="n">
        <v>44622.6445949074</v>
      </c>
      <c r="C507" s="1" t="n">
        <v>46036</v>
      </c>
      <c r="D507" t="inlineStr">
        <is>
          <t>DALARNAS LÄN</t>
        </is>
      </c>
      <c r="E507" t="inlineStr">
        <is>
          <t>ORSA</t>
        </is>
      </c>
      <c r="G507" t="n">
        <v>3.1</v>
      </c>
      <c r="H507" t="n">
        <v>0</v>
      </c>
      <c r="I507" t="n">
        <v>0</v>
      </c>
      <c r="J507" t="n">
        <v>0</v>
      </c>
      <c r="K507" t="n">
        <v>0</v>
      </c>
      <c r="L507" t="n">
        <v>0</v>
      </c>
      <c r="M507" t="n">
        <v>0</v>
      </c>
      <c r="N507" t="n">
        <v>0</v>
      </c>
      <c r="O507" t="n">
        <v>0</v>
      </c>
      <c r="P507" t="n">
        <v>0</v>
      </c>
      <c r="Q507" t="n">
        <v>0</v>
      </c>
      <c r="R507" s="2" t="inlineStr"/>
    </row>
    <row r="508" ht="15" customHeight="1">
      <c r="A508" t="inlineStr">
        <is>
          <t>A 17848-2025</t>
        </is>
      </c>
      <c r="B508" s="1" t="n">
        <v>45758.59981481481</v>
      </c>
      <c r="C508" s="1" t="n">
        <v>46036</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61684-2024</t>
        </is>
      </c>
      <c r="B509" s="1" t="n">
        <v>45647.56491898148</v>
      </c>
      <c r="C509" s="1" t="n">
        <v>46036</v>
      </c>
      <c r="D509" t="inlineStr">
        <is>
          <t>DALARNAS LÄN</t>
        </is>
      </c>
      <c r="E509" t="inlineStr">
        <is>
          <t>ORSA</t>
        </is>
      </c>
      <c r="G509" t="n">
        <v>5.8</v>
      </c>
      <c r="H509" t="n">
        <v>0</v>
      </c>
      <c r="I509" t="n">
        <v>0</v>
      </c>
      <c r="J509" t="n">
        <v>0</v>
      </c>
      <c r="K509" t="n">
        <v>0</v>
      </c>
      <c r="L509" t="n">
        <v>0</v>
      </c>
      <c r="M509" t="n">
        <v>0</v>
      </c>
      <c r="N509" t="n">
        <v>0</v>
      </c>
      <c r="O509" t="n">
        <v>0</v>
      </c>
      <c r="P509" t="n">
        <v>0</v>
      </c>
      <c r="Q509" t="n">
        <v>0</v>
      </c>
      <c r="R509" s="2" t="inlineStr"/>
    </row>
    <row r="510" ht="15" customHeight="1">
      <c r="A510" t="inlineStr">
        <is>
          <t>A 11784-2024</t>
        </is>
      </c>
      <c r="B510" s="1" t="n">
        <v>45374.67886574074</v>
      </c>
      <c r="C510" s="1" t="n">
        <v>46036</v>
      </c>
      <c r="D510" t="inlineStr">
        <is>
          <t>DALARNAS LÄN</t>
        </is>
      </c>
      <c r="E510" t="inlineStr">
        <is>
          <t>ORSA</t>
        </is>
      </c>
      <c r="G510" t="n">
        <v>1.7</v>
      </c>
      <c r="H510" t="n">
        <v>0</v>
      </c>
      <c r="I510" t="n">
        <v>0</v>
      </c>
      <c r="J510" t="n">
        <v>0</v>
      </c>
      <c r="K510" t="n">
        <v>0</v>
      </c>
      <c r="L510" t="n">
        <v>0</v>
      </c>
      <c r="M510" t="n">
        <v>0</v>
      </c>
      <c r="N510" t="n">
        <v>0</v>
      </c>
      <c r="O510" t="n">
        <v>0</v>
      </c>
      <c r="P510" t="n">
        <v>0</v>
      </c>
      <c r="Q510" t="n">
        <v>0</v>
      </c>
      <c r="R510" s="2" t="inlineStr"/>
    </row>
    <row r="511" ht="15" customHeight="1">
      <c r="A511" t="inlineStr">
        <is>
          <t>A 55338-2022</t>
        </is>
      </c>
      <c r="B511" s="1" t="n">
        <v>44887.45185185185</v>
      </c>
      <c r="C511" s="1" t="n">
        <v>46036</v>
      </c>
      <c r="D511" t="inlineStr">
        <is>
          <t>DALARNAS LÄN</t>
        </is>
      </c>
      <c r="E511" t="inlineStr">
        <is>
          <t>ORSA</t>
        </is>
      </c>
      <c r="G511" t="n">
        <v>2</v>
      </c>
      <c r="H511" t="n">
        <v>0</v>
      </c>
      <c r="I511" t="n">
        <v>0</v>
      </c>
      <c r="J511" t="n">
        <v>0</v>
      </c>
      <c r="K511" t="n">
        <v>0</v>
      </c>
      <c r="L511" t="n">
        <v>0</v>
      </c>
      <c r="M511" t="n">
        <v>0</v>
      </c>
      <c r="N511" t="n">
        <v>0</v>
      </c>
      <c r="O511" t="n">
        <v>0</v>
      </c>
      <c r="P511" t="n">
        <v>0</v>
      </c>
      <c r="Q511" t="n">
        <v>0</v>
      </c>
      <c r="R511" s="2" t="inlineStr"/>
    </row>
    <row r="512" ht="15" customHeight="1">
      <c r="A512" t="inlineStr">
        <is>
          <t>A 23350-2024</t>
        </is>
      </c>
      <c r="B512" s="1" t="n">
        <v>45453</v>
      </c>
      <c r="C512" s="1" t="n">
        <v>46036</v>
      </c>
      <c r="D512" t="inlineStr">
        <is>
          <t>DALARNAS LÄN</t>
        </is>
      </c>
      <c r="E512" t="inlineStr">
        <is>
          <t>ORSA</t>
        </is>
      </c>
      <c r="G512" t="n">
        <v>18.7</v>
      </c>
      <c r="H512" t="n">
        <v>0</v>
      </c>
      <c r="I512" t="n">
        <v>0</v>
      </c>
      <c r="J512" t="n">
        <v>0</v>
      </c>
      <c r="K512" t="n">
        <v>0</v>
      </c>
      <c r="L512" t="n">
        <v>0</v>
      </c>
      <c r="M512" t="n">
        <v>0</v>
      </c>
      <c r="N512" t="n">
        <v>0</v>
      </c>
      <c r="O512" t="n">
        <v>0</v>
      </c>
      <c r="P512" t="n">
        <v>0</v>
      </c>
      <c r="Q512" t="n">
        <v>0</v>
      </c>
      <c r="R512" s="2" t="inlineStr"/>
    </row>
    <row r="513" ht="15" customHeight="1">
      <c r="A513" t="inlineStr">
        <is>
          <t>A 49814-2023</t>
        </is>
      </c>
      <c r="B513" s="1" t="n">
        <v>45212.67149305555</v>
      </c>
      <c r="C513" s="1" t="n">
        <v>46036</v>
      </c>
      <c r="D513" t="inlineStr">
        <is>
          <t>DALARNAS LÄN</t>
        </is>
      </c>
      <c r="E513" t="inlineStr">
        <is>
          <t>ORSA</t>
        </is>
      </c>
      <c r="G513" t="n">
        <v>0.7</v>
      </c>
      <c r="H513" t="n">
        <v>0</v>
      </c>
      <c r="I513" t="n">
        <v>0</v>
      </c>
      <c r="J513" t="n">
        <v>0</v>
      </c>
      <c r="K513" t="n">
        <v>0</v>
      </c>
      <c r="L513" t="n">
        <v>0</v>
      </c>
      <c r="M513" t="n">
        <v>0</v>
      </c>
      <c r="N513" t="n">
        <v>0</v>
      </c>
      <c r="O513" t="n">
        <v>0</v>
      </c>
      <c r="P513" t="n">
        <v>0</v>
      </c>
      <c r="Q513" t="n">
        <v>0</v>
      </c>
      <c r="R513" s="2" t="inlineStr"/>
    </row>
    <row r="514" ht="15" customHeight="1">
      <c r="A514" t="inlineStr">
        <is>
          <t>A 25591-2022</t>
        </is>
      </c>
      <c r="B514" s="1" t="n">
        <v>44732.67958333333</v>
      </c>
      <c r="C514" s="1" t="n">
        <v>46036</v>
      </c>
      <c r="D514" t="inlineStr">
        <is>
          <t>DALARNAS LÄN</t>
        </is>
      </c>
      <c r="E514" t="inlineStr">
        <is>
          <t>ORSA</t>
        </is>
      </c>
      <c r="G514" t="n">
        <v>6</v>
      </c>
      <c r="H514" t="n">
        <v>0</v>
      </c>
      <c r="I514" t="n">
        <v>0</v>
      </c>
      <c r="J514" t="n">
        <v>0</v>
      </c>
      <c r="K514" t="n">
        <v>0</v>
      </c>
      <c r="L514" t="n">
        <v>0</v>
      </c>
      <c r="M514" t="n">
        <v>0</v>
      </c>
      <c r="N514" t="n">
        <v>0</v>
      </c>
      <c r="O514" t="n">
        <v>0</v>
      </c>
      <c r="P514" t="n">
        <v>0</v>
      </c>
      <c r="Q514" t="n">
        <v>0</v>
      </c>
      <c r="R514" s="2" t="inlineStr"/>
    </row>
    <row r="515" ht="15" customHeight="1">
      <c r="A515" t="inlineStr">
        <is>
          <t>A 60189-2022</t>
        </is>
      </c>
      <c r="B515" s="1" t="n">
        <v>44910.36798611111</v>
      </c>
      <c r="C515" s="1" t="n">
        <v>46036</v>
      </c>
      <c r="D515" t="inlineStr">
        <is>
          <t>DALARNAS LÄN</t>
        </is>
      </c>
      <c r="E515" t="inlineStr">
        <is>
          <t>ORSA</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52925-2024</t>
        </is>
      </c>
      <c r="B516" s="1" t="n">
        <v>45610.73276620371</v>
      </c>
      <c r="C516" s="1" t="n">
        <v>46036</v>
      </c>
      <c r="D516" t="inlineStr">
        <is>
          <t>DALARNAS LÄN</t>
        </is>
      </c>
      <c r="E516" t="inlineStr">
        <is>
          <t>ORSA</t>
        </is>
      </c>
      <c r="F516" t="inlineStr">
        <is>
          <t>Allmännings- och besparingsskogar</t>
        </is>
      </c>
      <c r="G516" t="n">
        <v>2.5</v>
      </c>
      <c r="H516" t="n">
        <v>0</v>
      </c>
      <c r="I516" t="n">
        <v>0</v>
      </c>
      <c r="J516" t="n">
        <v>0</v>
      </c>
      <c r="K516" t="n">
        <v>0</v>
      </c>
      <c r="L516" t="n">
        <v>0</v>
      </c>
      <c r="M516" t="n">
        <v>0</v>
      </c>
      <c r="N516" t="n">
        <v>0</v>
      </c>
      <c r="O516" t="n">
        <v>0</v>
      </c>
      <c r="P516" t="n">
        <v>0</v>
      </c>
      <c r="Q516" t="n">
        <v>0</v>
      </c>
      <c r="R516" s="2" t="inlineStr"/>
    </row>
    <row r="517" ht="15" customHeight="1">
      <c r="A517" t="inlineStr">
        <is>
          <t>A 6476-2025</t>
        </is>
      </c>
      <c r="B517" s="1" t="n">
        <v>45699</v>
      </c>
      <c r="C517" s="1" t="n">
        <v>46036</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6479-2025</t>
        </is>
      </c>
      <c r="B518" s="1" t="n">
        <v>45699</v>
      </c>
      <c r="C518" s="1" t="n">
        <v>46036</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56807-2024</t>
        </is>
      </c>
      <c r="B519" s="1" t="n">
        <v>45628.47519675926</v>
      </c>
      <c r="C519" s="1" t="n">
        <v>46036</v>
      </c>
      <c r="D519" t="inlineStr">
        <is>
          <t>DALARNAS LÄN</t>
        </is>
      </c>
      <c r="E519" t="inlineStr">
        <is>
          <t>ORSA</t>
        </is>
      </c>
      <c r="G519" t="n">
        <v>1.9</v>
      </c>
      <c r="H519" t="n">
        <v>0</v>
      </c>
      <c r="I519" t="n">
        <v>0</v>
      </c>
      <c r="J519" t="n">
        <v>0</v>
      </c>
      <c r="K519" t="n">
        <v>0</v>
      </c>
      <c r="L519" t="n">
        <v>0</v>
      </c>
      <c r="M519" t="n">
        <v>0</v>
      </c>
      <c r="N519" t="n">
        <v>0</v>
      </c>
      <c r="O519" t="n">
        <v>0</v>
      </c>
      <c r="P519" t="n">
        <v>0</v>
      </c>
      <c r="Q519" t="n">
        <v>0</v>
      </c>
      <c r="R519" s="2" t="inlineStr"/>
    </row>
    <row r="520" ht="15" customHeight="1">
      <c r="A520" t="inlineStr">
        <is>
          <t>A 52643-2024</t>
        </is>
      </c>
      <c r="B520" s="1" t="n">
        <v>45610.34175925926</v>
      </c>
      <c r="C520" s="1" t="n">
        <v>46036</v>
      </c>
      <c r="D520" t="inlineStr">
        <is>
          <t>DALARNAS LÄN</t>
        </is>
      </c>
      <c r="E520" t="inlineStr">
        <is>
          <t>ORSA</t>
        </is>
      </c>
      <c r="G520" t="n">
        <v>1.5</v>
      </c>
      <c r="H520" t="n">
        <v>0</v>
      </c>
      <c r="I520" t="n">
        <v>0</v>
      </c>
      <c r="J520" t="n">
        <v>0</v>
      </c>
      <c r="K520" t="n">
        <v>0</v>
      </c>
      <c r="L520" t="n">
        <v>0</v>
      </c>
      <c r="M520" t="n">
        <v>0</v>
      </c>
      <c r="N520" t="n">
        <v>0</v>
      </c>
      <c r="O520" t="n">
        <v>0</v>
      </c>
      <c r="P520" t="n">
        <v>0</v>
      </c>
      <c r="Q520" t="n">
        <v>0</v>
      </c>
      <c r="R520" s="2" t="inlineStr"/>
    </row>
    <row r="521" ht="15" customHeight="1">
      <c r="A521" t="inlineStr">
        <is>
          <t>A 47732-2021</t>
        </is>
      </c>
      <c r="B521" s="1" t="n">
        <v>44448.52815972222</v>
      </c>
      <c r="C521" s="1" t="n">
        <v>46036</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31170-2023</t>
        </is>
      </c>
      <c r="B522" s="1" t="n">
        <v>45113.84923611111</v>
      </c>
      <c r="C522" s="1" t="n">
        <v>46036</v>
      </c>
      <c r="D522" t="inlineStr">
        <is>
          <t>DALARNAS LÄN</t>
        </is>
      </c>
      <c r="E522" t="inlineStr">
        <is>
          <t>ORSA</t>
        </is>
      </c>
      <c r="G522" t="n">
        <v>2.1</v>
      </c>
      <c r="H522" t="n">
        <v>0</v>
      </c>
      <c r="I522" t="n">
        <v>0</v>
      </c>
      <c r="J522" t="n">
        <v>0</v>
      </c>
      <c r="K522" t="n">
        <v>0</v>
      </c>
      <c r="L522" t="n">
        <v>0</v>
      </c>
      <c r="M522" t="n">
        <v>0</v>
      </c>
      <c r="N522" t="n">
        <v>0</v>
      </c>
      <c r="O522" t="n">
        <v>0</v>
      </c>
      <c r="P522" t="n">
        <v>0</v>
      </c>
      <c r="Q522" t="n">
        <v>0</v>
      </c>
      <c r="R522" s="2" t="inlineStr"/>
    </row>
    <row r="523" ht="15" customHeight="1">
      <c r="A523" t="inlineStr">
        <is>
          <t>A 31171-2023</t>
        </is>
      </c>
      <c r="B523" s="1" t="n">
        <v>45113.85704861111</v>
      </c>
      <c r="C523" s="1" t="n">
        <v>46036</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40101-2024</t>
        </is>
      </c>
      <c r="B524" s="1" t="n">
        <v>45554.42622685185</v>
      </c>
      <c r="C524" s="1" t="n">
        <v>46036</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17503-2025</t>
        </is>
      </c>
      <c r="B525" s="1" t="n">
        <v>45757.55321759259</v>
      </c>
      <c r="C525" s="1" t="n">
        <v>46036</v>
      </c>
      <c r="D525" t="inlineStr">
        <is>
          <t>DALARNAS LÄN</t>
        </is>
      </c>
      <c r="E525" t="inlineStr">
        <is>
          <t>ORSA</t>
        </is>
      </c>
      <c r="G525" t="n">
        <v>0.8</v>
      </c>
      <c r="H525" t="n">
        <v>0</v>
      </c>
      <c r="I525" t="n">
        <v>0</v>
      </c>
      <c r="J525" t="n">
        <v>0</v>
      </c>
      <c r="K525" t="n">
        <v>0</v>
      </c>
      <c r="L525" t="n">
        <v>0</v>
      </c>
      <c r="M525" t="n">
        <v>0</v>
      </c>
      <c r="N525" t="n">
        <v>0</v>
      </c>
      <c r="O525" t="n">
        <v>0</v>
      </c>
      <c r="P525" t="n">
        <v>0</v>
      </c>
      <c r="Q525" t="n">
        <v>0</v>
      </c>
      <c r="R525" s="2" t="inlineStr"/>
    </row>
    <row r="526" ht="15" customHeight="1">
      <c r="A526" t="inlineStr">
        <is>
          <t>A 37830-2024</t>
        </is>
      </c>
      <c r="B526" s="1" t="n">
        <v>45544.34504629629</v>
      </c>
      <c r="C526" s="1" t="n">
        <v>46036</v>
      </c>
      <c r="D526" t="inlineStr">
        <is>
          <t>DALARNAS LÄN</t>
        </is>
      </c>
      <c r="E526" t="inlineStr">
        <is>
          <t>ORSA</t>
        </is>
      </c>
      <c r="G526" t="n">
        <v>0.8</v>
      </c>
      <c r="H526" t="n">
        <v>0</v>
      </c>
      <c r="I526" t="n">
        <v>0</v>
      </c>
      <c r="J526" t="n">
        <v>0</v>
      </c>
      <c r="K526" t="n">
        <v>0</v>
      </c>
      <c r="L526" t="n">
        <v>0</v>
      </c>
      <c r="M526" t="n">
        <v>0</v>
      </c>
      <c r="N526" t="n">
        <v>0</v>
      </c>
      <c r="O526" t="n">
        <v>0</v>
      </c>
      <c r="P526" t="n">
        <v>0</v>
      </c>
      <c r="Q526" t="n">
        <v>0</v>
      </c>
      <c r="R526" s="2" t="inlineStr"/>
    </row>
    <row r="527" ht="15" customHeight="1">
      <c r="A527" t="inlineStr">
        <is>
          <t>A 21905-2022</t>
        </is>
      </c>
      <c r="B527" s="1" t="n">
        <v>44711</v>
      </c>
      <c r="C527" s="1" t="n">
        <v>46036</v>
      </c>
      <c r="D527" t="inlineStr">
        <is>
          <t>DALARNAS LÄN</t>
        </is>
      </c>
      <c r="E527" t="inlineStr">
        <is>
          <t>ORSA</t>
        </is>
      </c>
      <c r="F527" t="inlineStr">
        <is>
          <t>Allmännings- och besparingsskogar</t>
        </is>
      </c>
      <c r="G527" t="n">
        <v>3.1</v>
      </c>
      <c r="H527" t="n">
        <v>0</v>
      </c>
      <c r="I527" t="n">
        <v>0</v>
      </c>
      <c r="J527" t="n">
        <v>0</v>
      </c>
      <c r="K527" t="n">
        <v>0</v>
      </c>
      <c r="L527" t="n">
        <v>0</v>
      </c>
      <c r="M527" t="n">
        <v>0</v>
      </c>
      <c r="N527" t="n">
        <v>0</v>
      </c>
      <c r="O527" t="n">
        <v>0</v>
      </c>
      <c r="P527" t="n">
        <v>0</v>
      </c>
      <c r="Q527" t="n">
        <v>0</v>
      </c>
      <c r="R527" s="2" t="inlineStr"/>
    </row>
    <row r="528" ht="15" customHeight="1">
      <c r="A528" t="inlineStr">
        <is>
          <t>A 48516-2024</t>
        </is>
      </c>
      <c r="B528" s="1" t="n">
        <v>45593.31292824074</v>
      </c>
      <c r="C528" s="1" t="n">
        <v>46036</v>
      </c>
      <c r="D528" t="inlineStr">
        <is>
          <t>DALARNAS LÄN</t>
        </is>
      </c>
      <c r="E528" t="inlineStr">
        <is>
          <t>ORSA</t>
        </is>
      </c>
      <c r="G528" t="n">
        <v>3.3</v>
      </c>
      <c r="H528" t="n">
        <v>0</v>
      </c>
      <c r="I528" t="n">
        <v>0</v>
      </c>
      <c r="J528" t="n">
        <v>0</v>
      </c>
      <c r="K528" t="n">
        <v>0</v>
      </c>
      <c r="L528" t="n">
        <v>0</v>
      </c>
      <c r="M528" t="n">
        <v>0</v>
      </c>
      <c r="N528" t="n">
        <v>0</v>
      </c>
      <c r="O528" t="n">
        <v>0</v>
      </c>
      <c r="P528" t="n">
        <v>0</v>
      </c>
      <c r="Q528" t="n">
        <v>0</v>
      </c>
      <c r="R528" s="2" t="inlineStr"/>
    </row>
    <row r="529" ht="15" customHeight="1">
      <c r="A529" t="inlineStr">
        <is>
          <t>A 48521-2024</t>
        </is>
      </c>
      <c r="B529" s="1" t="n">
        <v>45593.32871527778</v>
      </c>
      <c r="C529" s="1" t="n">
        <v>46036</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48525-2024</t>
        </is>
      </c>
      <c r="B530" s="1" t="n">
        <v>45593.33947916667</v>
      </c>
      <c r="C530" s="1" t="n">
        <v>46036</v>
      </c>
      <c r="D530" t="inlineStr">
        <is>
          <t>DALARNAS LÄN</t>
        </is>
      </c>
      <c r="E530" t="inlineStr">
        <is>
          <t>ORSA</t>
        </is>
      </c>
      <c r="G530" t="n">
        <v>1.3</v>
      </c>
      <c r="H530" t="n">
        <v>0</v>
      </c>
      <c r="I530" t="n">
        <v>0</v>
      </c>
      <c r="J530" t="n">
        <v>0</v>
      </c>
      <c r="K530" t="n">
        <v>0</v>
      </c>
      <c r="L530" t="n">
        <v>0</v>
      </c>
      <c r="M530" t="n">
        <v>0</v>
      </c>
      <c r="N530" t="n">
        <v>0</v>
      </c>
      <c r="O530" t="n">
        <v>0</v>
      </c>
      <c r="P530" t="n">
        <v>0</v>
      </c>
      <c r="Q530" t="n">
        <v>0</v>
      </c>
      <c r="R530" s="2" t="inlineStr"/>
    </row>
    <row r="531" ht="15" customHeight="1">
      <c r="A531" t="inlineStr">
        <is>
          <t>A 41832-2024</t>
        </is>
      </c>
      <c r="B531" s="1" t="n">
        <v>45561.40730324074</v>
      </c>
      <c r="C531" s="1" t="n">
        <v>46036</v>
      </c>
      <c r="D531" t="inlineStr">
        <is>
          <t>DALARNAS LÄN</t>
        </is>
      </c>
      <c r="E531" t="inlineStr">
        <is>
          <t>ORSA</t>
        </is>
      </c>
      <c r="G531" t="n">
        <v>0.5</v>
      </c>
      <c r="H531" t="n">
        <v>0</v>
      </c>
      <c r="I531" t="n">
        <v>0</v>
      </c>
      <c r="J531" t="n">
        <v>0</v>
      </c>
      <c r="K531" t="n">
        <v>0</v>
      </c>
      <c r="L531" t="n">
        <v>0</v>
      </c>
      <c r="M531" t="n">
        <v>0</v>
      </c>
      <c r="N531" t="n">
        <v>0</v>
      </c>
      <c r="O531" t="n">
        <v>0</v>
      </c>
      <c r="P531" t="n">
        <v>0</v>
      </c>
      <c r="Q531" t="n">
        <v>0</v>
      </c>
      <c r="R531" s="2" t="inlineStr"/>
    </row>
    <row r="532" ht="15" customHeight="1">
      <c r="A532" t="inlineStr">
        <is>
          <t>A 53758-2024</t>
        </is>
      </c>
      <c r="B532" s="1" t="n">
        <v>45615.50483796297</v>
      </c>
      <c r="C532" s="1" t="n">
        <v>46036</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27163-2023</t>
        </is>
      </c>
      <c r="B533" s="1" t="n">
        <v>45096.4878125</v>
      </c>
      <c r="C533" s="1" t="n">
        <v>46036</v>
      </c>
      <c r="D533" t="inlineStr">
        <is>
          <t>DALARNAS LÄN</t>
        </is>
      </c>
      <c r="E533" t="inlineStr">
        <is>
          <t>ORSA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22022-2022</t>
        </is>
      </c>
      <c r="B534" s="1" t="n">
        <v>44711.60145833333</v>
      </c>
      <c r="C534" s="1" t="n">
        <v>46036</v>
      </c>
      <c r="D534" t="inlineStr">
        <is>
          <t>DALARNAS LÄN</t>
        </is>
      </c>
      <c r="E534" t="inlineStr">
        <is>
          <t>ORSA</t>
        </is>
      </c>
      <c r="F534" t="inlineStr">
        <is>
          <t>Bergvik skog öst AB</t>
        </is>
      </c>
      <c r="G534" t="n">
        <v>1.9</v>
      </c>
      <c r="H534" t="n">
        <v>0</v>
      </c>
      <c r="I534" t="n">
        <v>0</v>
      </c>
      <c r="J534" t="n">
        <v>0</v>
      </c>
      <c r="K534" t="n">
        <v>0</v>
      </c>
      <c r="L534" t="n">
        <v>0</v>
      </c>
      <c r="M534" t="n">
        <v>0</v>
      </c>
      <c r="N534" t="n">
        <v>0</v>
      </c>
      <c r="O534" t="n">
        <v>0</v>
      </c>
      <c r="P534" t="n">
        <v>0</v>
      </c>
      <c r="Q534" t="n">
        <v>0</v>
      </c>
      <c r="R534" s="2" t="inlineStr"/>
    </row>
    <row r="535" ht="15" customHeight="1">
      <c r="A535" t="inlineStr">
        <is>
          <t>A 56810-2024</t>
        </is>
      </c>
      <c r="B535" s="1" t="n">
        <v>45628</v>
      </c>
      <c r="C535" s="1" t="n">
        <v>46036</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56811-2024</t>
        </is>
      </c>
      <c r="B536" s="1" t="n">
        <v>45628</v>
      </c>
      <c r="C536" s="1" t="n">
        <v>46036</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56803-2024</t>
        </is>
      </c>
      <c r="B537" s="1" t="n">
        <v>45628.47212962963</v>
      </c>
      <c r="C537" s="1" t="n">
        <v>46036</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9836-2022</t>
        </is>
      </c>
      <c r="B538" s="1" t="n">
        <v>44620</v>
      </c>
      <c r="C538" s="1" t="n">
        <v>46036</v>
      </c>
      <c r="D538" t="inlineStr">
        <is>
          <t>DALARNAS LÄN</t>
        </is>
      </c>
      <c r="E538" t="inlineStr">
        <is>
          <t>ORSA</t>
        </is>
      </c>
      <c r="G538" t="n">
        <v>1</v>
      </c>
      <c r="H538" t="n">
        <v>0</v>
      </c>
      <c r="I538" t="n">
        <v>0</v>
      </c>
      <c r="J538" t="n">
        <v>0</v>
      </c>
      <c r="K538" t="n">
        <v>0</v>
      </c>
      <c r="L538" t="n">
        <v>0</v>
      </c>
      <c r="M538" t="n">
        <v>0</v>
      </c>
      <c r="N538" t="n">
        <v>0</v>
      </c>
      <c r="O538" t="n">
        <v>0</v>
      </c>
      <c r="P538" t="n">
        <v>0</v>
      </c>
      <c r="Q538" t="n">
        <v>0</v>
      </c>
      <c r="R538" s="2" t="inlineStr"/>
    </row>
    <row r="539" ht="15" customHeight="1">
      <c r="A539" t="inlineStr">
        <is>
          <t>A 890-2024</t>
        </is>
      </c>
      <c r="B539" s="1" t="n">
        <v>45301.40552083333</v>
      </c>
      <c r="C539" s="1" t="n">
        <v>46036</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20808-2025</t>
        </is>
      </c>
      <c r="B540" s="1" t="n">
        <v>45776</v>
      </c>
      <c r="C540" s="1" t="n">
        <v>46036</v>
      </c>
      <c r="D540" t="inlineStr">
        <is>
          <t>DALARNAS LÄN</t>
        </is>
      </c>
      <c r="E540" t="inlineStr">
        <is>
          <t>ORSA</t>
        </is>
      </c>
      <c r="F540" t="inlineStr">
        <is>
          <t>Bergvik skog väst AB</t>
        </is>
      </c>
      <c r="G540" t="n">
        <v>14.3</v>
      </c>
      <c r="H540" t="n">
        <v>0</v>
      </c>
      <c r="I540" t="n">
        <v>0</v>
      </c>
      <c r="J540" t="n">
        <v>0</v>
      </c>
      <c r="K540" t="n">
        <v>0</v>
      </c>
      <c r="L540" t="n">
        <v>0</v>
      </c>
      <c r="M540" t="n">
        <v>0</v>
      </c>
      <c r="N540" t="n">
        <v>0</v>
      </c>
      <c r="O540" t="n">
        <v>0</v>
      </c>
      <c r="P540" t="n">
        <v>0</v>
      </c>
      <c r="Q540" t="n">
        <v>0</v>
      </c>
      <c r="R540" s="2" t="inlineStr"/>
    </row>
    <row r="541" ht="15" customHeight="1">
      <c r="A541" t="inlineStr">
        <is>
          <t>A 21747-2025</t>
        </is>
      </c>
      <c r="B541" s="1" t="n">
        <v>45783.60923611111</v>
      </c>
      <c r="C541" s="1" t="n">
        <v>46036</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21376-2025</t>
        </is>
      </c>
      <c r="B542" s="1" t="n">
        <v>45782.45069444444</v>
      </c>
      <c r="C542" s="1" t="n">
        <v>46036</v>
      </c>
      <c r="D542" t="inlineStr">
        <is>
          <t>DALARNAS LÄN</t>
        </is>
      </c>
      <c r="E542" t="inlineStr">
        <is>
          <t>ORSA</t>
        </is>
      </c>
      <c r="G542" t="n">
        <v>4.6</v>
      </c>
      <c r="H542" t="n">
        <v>0</v>
      </c>
      <c r="I542" t="n">
        <v>0</v>
      </c>
      <c r="J542" t="n">
        <v>0</v>
      </c>
      <c r="K542" t="n">
        <v>0</v>
      </c>
      <c r="L542" t="n">
        <v>0</v>
      </c>
      <c r="M542" t="n">
        <v>0</v>
      </c>
      <c r="N542" t="n">
        <v>0</v>
      </c>
      <c r="O542" t="n">
        <v>0</v>
      </c>
      <c r="P542" t="n">
        <v>0</v>
      </c>
      <c r="Q542" t="n">
        <v>0</v>
      </c>
      <c r="R542" s="2" t="inlineStr"/>
    </row>
    <row r="543" ht="15" customHeight="1">
      <c r="A543" t="inlineStr">
        <is>
          <t>A 21335-2025</t>
        </is>
      </c>
      <c r="B543" s="1" t="n">
        <v>45782.37519675926</v>
      </c>
      <c r="C543" s="1" t="n">
        <v>46036</v>
      </c>
      <c r="D543" t="inlineStr">
        <is>
          <t>DALARNAS LÄN</t>
        </is>
      </c>
      <c r="E543" t="inlineStr">
        <is>
          <t>ORSA</t>
        </is>
      </c>
      <c r="F543" t="inlineStr">
        <is>
          <t>Bergvik skog väst AB</t>
        </is>
      </c>
      <c r="G543" t="n">
        <v>14.3</v>
      </c>
      <c r="H543" t="n">
        <v>0</v>
      </c>
      <c r="I543" t="n">
        <v>0</v>
      </c>
      <c r="J543" t="n">
        <v>0</v>
      </c>
      <c r="K543" t="n">
        <v>0</v>
      </c>
      <c r="L543" t="n">
        <v>0</v>
      </c>
      <c r="M543" t="n">
        <v>0</v>
      </c>
      <c r="N543" t="n">
        <v>0</v>
      </c>
      <c r="O543" t="n">
        <v>0</v>
      </c>
      <c r="P543" t="n">
        <v>0</v>
      </c>
      <c r="Q543" t="n">
        <v>0</v>
      </c>
      <c r="R543" s="2" t="inlineStr"/>
    </row>
    <row r="544" ht="15" customHeight="1">
      <c r="A544" t="inlineStr">
        <is>
          <t>A 10004-2023</t>
        </is>
      </c>
      <c r="B544" s="1" t="n">
        <v>44985.60604166667</v>
      </c>
      <c r="C544" s="1" t="n">
        <v>46036</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879-2024</t>
        </is>
      </c>
      <c r="B545" s="1" t="n">
        <v>45301.36821759259</v>
      </c>
      <c r="C545" s="1" t="n">
        <v>46036</v>
      </c>
      <c r="D545" t="inlineStr">
        <is>
          <t>DALARNAS LÄN</t>
        </is>
      </c>
      <c r="E545" t="inlineStr">
        <is>
          <t>ORSA</t>
        </is>
      </c>
      <c r="G545" t="n">
        <v>2.1</v>
      </c>
      <c r="H545" t="n">
        <v>0</v>
      </c>
      <c r="I545" t="n">
        <v>0</v>
      </c>
      <c r="J545" t="n">
        <v>0</v>
      </c>
      <c r="K545" t="n">
        <v>0</v>
      </c>
      <c r="L545" t="n">
        <v>0</v>
      </c>
      <c r="M545" t="n">
        <v>0</v>
      </c>
      <c r="N545" t="n">
        <v>0</v>
      </c>
      <c r="O545" t="n">
        <v>0</v>
      </c>
      <c r="P545" t="n">
        <v>0</v>
      </c>
      <c r="Q545" t="n">
        <v>0</v>
      </c>
      <c r="R545" s="2" t="inlineStr"/>
    </row>
    <row r="546" ht="15" customHeight="1">
      <c r="A546" t="inlineStr">
        <is>
          <t>A 41835-2024</t>
        </is>
      </c>
      <c r="B546" s="1" t="n">
        <v>45561.40888888889</v>
      </c>
      <c r="C546" s="1" t="n">
        <v>46036</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4566-2025</t>
        </is>
      </c>
      <c r="B547" s="1" t="n">
        <v>45687.46100694445</v>
      </c>
      <c r="C547" s="1" t="n">
        <v>46036</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29984-2025</t>
        </is>
      </c>
      <c r="B548" s="1" t="n">
        <v>45826.49581018519</v>
      </c>
      <c r="C548" s="1" t="n">
        <v>46036</v>
      </c>
      <c r="D548" t="inlineStr">
        <is>
          <t>DALARNAS LÄN</t>
        </is>
      </c>
      <c r="E548" t="inlineStr">
        <is>
          <t>ORSA</t>
        </is>
      </c>
      <c r="G548" t="n">
        <v>0.7</v>
      </c>
      <c r="H548" t="n">
        <v>0</v>
      </c>
      <c r="I548" t="n">
        <v>0</v>
      </c>
      <c r="J548" t="n">
        <v>0</v>
      </c>
      <c r="K548" t="n">
        <v>0</v>
      </c>
      <c r="L548" t="n">
        <v>0</v>
      </c>
      <c r="M548" t="n">
        <v>0</v>
      </c>
      <c r="N548" t="n">
        <v>0</v>
      </c>
      <c r="O548" t="n">
        <v>0</v>
      </c>
      <c r="P548" t="n">
        <v>0</v>
      </c>
      <c r="Q548" t="n">
        <v>0</v>
      </c>
      <c r="R548" s="2" t="inlineStr"/>
    </row>
    <row r="549" ht="15" customHeight="1">
      <c r="A549" t="inlineStr">
        <is>
          <t>A 21949-2025</t>
        </is>
      </c>
      <c r="B549" s="1" t="n">
        <v>45784.59369212963</v>
      </c>
      <c r="C549" s="1" t="n">
        <v>46036</v>
      </c>
      <c r="D549" t="inlineStr">
        <is>
          <t>DALARNAS LÄN</t>
        </is>
      </c>
      <c r="E549" t="inlineStr">
        <is>
          <t>ORSA</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21165-2024</t>
        </is>
      </c>
      <c r="B550" s="1" t="n">
        <v>45440.45225694445</v>
      </c>
      <c r="C550" s="1" t="n">
        <v>46036</v>
      </c>
      <c r="D550" t="inlineStr">
        <is>
          <t>DALARNAS LÄN</t>
        </is>
      </c>
      <c r="E550" t="inlineStr">
        <is>
          <t>ORSA</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44904-2024</t>
        </is>
      </c>
      <c r="B551" s="1" t="n">
        <v>45575.38193287037</v>
      </c>
      <c r="C551" s="1" t="n">
        <v>46036</v>
      </c>
      <c r="D551" t="inlineStr">
        <is>
          <t>DALARNAS LÄN</t>
        </is>
      </c>
      <c r="E551" t="inlineStr">
        <is>
          <t>ORSA</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55843-2023</t>
        </is>
      </c>
      <c r="B552" s="1" t="n">
        <v>45239</v>
      </c>
      <c r="C552" s="1" t="n">
        <v>46036</v>
      </c>
      <c r="D552" t="inlineStr">
        <is>
          <t>DALARNAS LÄN</t>
        </is>
      </c>
      <c r="E552" t="inlineStr">
        <is>
          <t>ORSA</t>
        </is>
      </c>
      <c r="G552" t="n">
        <v>2.4</v>
      </c>
      <c r="H552" t="n">
        <v>0</v>
      </c>
      <c r="I552" t="n">
        <v>0</v>
      </c>
      <c r="J552" t="n">
        <v>0</v>
      </c>
      <c r="K552" t="n">
        <v>0</v>
      </c>
      <c r="L552" t="n">
        <v>0</v>
      </c>
      <c r="M552" t="n">
        <v>0</v>
      </c>
      <c r="N552" t="n">
        <v>0</v>
      </c>
      <c r="O552" t="n">
        <v>0</v>
      </c>
      <c r="P552" t="n">
        <v>0</v>
      </c>
      <c r="Q552" t="n">
        <v>0</v>
      </c>
      <c r="R552" s="2" t="inlineStr"/>
    </row>
    <row r="553" ht="15" customHeight="1">
      <c r="A553" t="inlineStr">
        <is>
          <t>A 23056-2025</t>
        </is>
      </c>
      <c r="B553" s="1" t="n">
        <v>45790.73627314815</v>
      </c>
      <c r="C553" s="1" t="n">
        <v>46036</v>
      </c>
      <c r="D553" t="inlineStr">
        <is>
          <t>DALARNAS LÄN</t>
        </is>
      </c>
      <c r="E553" t="inlineStr">
        <is>
          <t>ORSA</t>
        </is>
      </c>
      <c r="G553" t="n">
        <v>0.5</v>
      </c>
      <c r="H553" t="n">
        <v>0</v>
      </c>
      <c r="I553" t="n">
        <v>0</v>
      </c>
      <c r="J553" t="n">
        <v>0</v>
      </c>
      <c r="K553" t="n">
        <v>0</v>
      </c>
      <c r="L553" t="n">
        <v>0</v>
      </c>
      <c r="M553" t="n">
        <v>0</v>
      </c>
      <c r="N553" t="n">
        <v>0</v>
      </c>
      <c r="O553" t="n">
        <v>0</v>
      </c>
      <c r="P553" t="n">
        <v>0</v>
      </c>
      <c r="Q553" t="n">
        <v>0</v>
      </c>
      <c r="R553" s="2" t="inlineStr"/>
    </row>
    <row r="554" ht="15" customHeight="1">
      <c r="A554" t="inlineStr">
        <is>
          <t>A 23015-2025</t>
        </is>
      </c>
      <c r="B554" s="1" t="n">
        <v>45790.6377662037</v>
      </c>
      <c r="C554" s="1" t="n">
        <v>46036</v>
      </c>
      <c r="D554" t="inlineStr">
        <is>
          <t>DALARNAS LÄN</t>
        </is>
      </c>
      <c r="E554" t="inlineStr">
        <is>
          <t>ORSA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58549-2023</t>
        </is>
      </c>
      <c r="B555" s="1" t="n">
        <v>45251.42627314815</v>
      </c>
      <c r="C555" s="1" t="n">
        <v>46036</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ht="15" customHeight="1">
      <c r="A556" t="inlineStr">
        <is>
          <t>A 23053-2025</t>
        </is>
      </c>
      <c r="B556" s="1" t="n">
        <v>45790.73072916667</v>
      </c>
      <c r="C556" s="1" t="n">
        <v>46036</v>
      </c>
      <c r="D556" t="inlineStr">
        <is>
          <t>DALARNAS LÄN</t>
        </is>
      </c>
      <c r="E556" t="inlineStr">
        <is>
          <t>ORSA</t>
        </is>
      </c>
      <c r="G556" t="n">
        <v>3.3</v>
      </c>
      <c r="H556" t="n">
        <v>0</v>
      </c>
      <c r="I556" t="n">
        <v>0</v>
      </c>
      <c r="J556" t="n">
        <v>0</v>
      </c>
      <c r="K556" t="n">
        <v>0</v>
      </c>
      <c r="L556" t="n">
        <v>0</v>
      </c>
      <c r="M556" t="n">
        <v>0</v>
      </c>
      <c r="N556" t="n">
        <v>0</v>
      </c>
      <c r="O556" t="n">
        <v>0</v>
      </c>
      <c r="P556" t="n">
        <v>0</v>
      </c>
      <c r="Q556" t="n">
        <v>0</v>
      </c>
      <c r="R556" s="2" t="inlineStr"/>
    </row>
    <row r="557" ht="15" customHeight="1">
      <c r="A557" t="inlineStr">
        <is>
          <t>A 62289-2023</t>
        </is>
      </c>
      <c r="B557" s="1" t="n">
        <v>45266</v>
      </c>
      <c r="C557" s="1" t="n">
        <v>46036</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23055-2025</t>
        </is>
      </c>
      <c r="B558" s="1" t="n">
        <v>45790.73469907408</v>
      </c>
      <c r="C558" s="1" t="n">
        <v>46036</v>
      </c>
      <c r="D558" t="inlineStr">
        <is>
          <t>DALARNAS LÄN</t>
        </is>
      </c>
      <c r="E558" t="inlineStr">
        <is>
          <t>ORSA</t>
        </is>
      </c>
      <c r="G558" t="n">
        <v>0.9</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45331.38175925926</v>
      </c>
      <c r="C559" s="1" t="n">
        <v>46036</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23740-2025</t>
        </is>
      </c>
      <c r="B560" s="1" t="n">
        <v>45793.43210648148</v>
      </c>
      <c r="C560" s="1" t="n">
        <v>46036</v>
      </c>
      <c r="D560" t="inlineStr">
        <is>
          <t>DALARNAS LÄN</t>
        </is>
      </c>
      <c r="E560" t="inlineStr">
        <is>
          <t>ORSA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5434-2025</t>
        </is>
      </c>
      <c r="B561" s="1" t="n">
        <v>45692</v>
      </c>
      <c r="C561" s="1" t="n">
        <v>46036</v>
      </c>
      <c r="D561" t="inlineStr">
        <is>
          <t>DALARNAS LÄN</t>
        </is>
      </c>
      <c r="E561" t="inlineStr">
        <is>
          <t>ORSA</t>
        </is>
      </c>
      <c r="G561" t="n">
        <v>6.9</v>
      </c>
      <c r="H561" t="n">
        <v>0</v>
      </c>
      <c r="I561" t="n">
        <v>0</v>
      </c>
      <c r="J561" t="n">
        <v>0</v>
      </c>
      <c r="K561" t="n">
        <v>0</v>
      </c>
      <c r="L561" t="n">
        <v>0</v>
      </c>
      <c r="M561" t="n">
        <v>0</v>
      </c>
      <c r="N561" t="n">
        <v>0</v>
      </c>
      <c r="O561" t="n">
        <v>0</v>
      </c>
      <c r="P561" t="n">
        <v>0</v>
      </c>
      <c r="Q561" t="n">
        <v>0</v>
      </c>
      <c r="R561" s="2" t="inlineStr"/>
    </row>
    <row r="562" ht="15" customHeight="1">
      <c r="A562" t="inlineStr">
        <is>
          <t>A 70332-2021</t>
        </is>
      </c>
      <c r="B562" s="1" t="n">
        <v>44536</v>
      </c>
      <c r="C562" s="1" t="n">
        <v>46036</v>
      </c>
      <c r="D562" t="inlineStr">
        <is>
          <t>DALARNAS LÄN</t>
        </is>
      </c>
      <c r="E562" t="inlineStr">
        <is>
          <t>ORSA</t>
        </is>
      </c>
      <c r="G562" t="n">
        <v>7.2</v>
      </c>
      <c r="H562" t="n">
        <v>0</v>
      </c>
      <c r="I562" t="n">
        <v>0</v>
      </c>
      <c r="J562" t="n">
        <v>0</v>
      </c>
      <c r="K562" t="n">
        <v>0</v>
      </c>
      <c r="L562" t="n">
        <v>0</v>
      </c>
      <c r="M562" t="n">
        <v>0</v>
      </c>
      <c r="N562" t="n">
        <v>0</v>
      </c>
      <c r="O562" t="n">
        <v>0</v>
      </c>
      <c r="P562" t="n">
        <v>0</v>
      </c>
      <c r="Q562" t="n">
        <v>0</v>
      </c>
      <c r="R562" s="2" t="inlineStr"/>
    </row>
    <row r="563" ht="15" customHeight="1">
      <c r="A563" t="inlineStr">
        <is>
          <t>A 1785-2024</t>
        </is>
      </c>
      <c r="B563" s="1" t="n">
        <v>45307</v>
      </c>
      <c r="C563" s="1" t="n">
        <v>46036</v>
      </c>
      <c r="D563" t="inlineStr">
        <is>
          <t>DALARNAS LÄN</t>
        </is>
      </c>
      <c r="E563" t="inlineStr">
        <is>
          <t>ORSA</t>
        </is>
      </c>
      <c r="G563" t="n">
        <v>42.8</v>
      </c>
      <c r="H563" t="n">
        <v>0</v>
      </c>
      <c r="I563" t="n">
        <v>0</v>
      </c>
      <c r="J563" t="n">
        <v>0</v>
      </c>
      <c r="K563" t="n">
        <v>0</v>
      </c>
      <c r="L563" t="n">
        <v>0</v>
      </c>
      <c r="M563" t="n">
        <v>0</v>
      </c>
      <c r="N563" t="n">
        <v>0</v>
      </c>
      <c r="O563" t="n">
        <v>0</v>
      </c>
      <c r="P563" t="n">
        <v>0</v>
      </c>
      <c r="Q563" t="n">
        <v>0</v>
      </c>
      <c r="R563" s="2" t="inlineStr"/>
    </row>
    <row r="564" ht="15" customHeight="1">
      <c r="A564" t="inlineStr">
        <is>
          <t>A 24248-2025</t>
        </is>
      </c>
      <c r="B564" s="1" t="n">
        <v>45797.40101851852</v>
      </c>
      <c r="C564" s="1" t="n">
        <v>46036</v>
      </c>
      <c r="D564" t="inlineStr">
        <is>
          <t>DALARNAS LÄN</t>
        </is>
      </c>
      <c r="E564" t="inlineStr">
        <is>
          <t>ORSA</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53703-2024</t>
        </is>
      </c>
      <c r="B565" s="1" t="n">
        <v>45615.3990162037</v>
      </c>
      <c r="C565" s="1" t="n">
        <v>46036</v>
      </c>
      <c r="D565" t="inlineStr">
        <is>
          <t>DALARNAS LÄN</t>
        </is>
      </c>
      <c r="E565" t="inlineStr">
        <is>
          <t>ORSA</t>
        </is>
      </c>
      <c r="G565" t="n">
        <v>1.4</v>
      </c>
      <c r="H565" t="n">
        <v>0</v>
      </c>
      <c r="I565" t="n">
        <v>0</v>
      </c>
      <c r="J565" t="n">
        <v>0</v>
      </c>
      <c r="K565" t="n">
        <v>0</v>
      </c>
      <c r="L565" t="n">
        <v>0</v>
      </c>
      <c r="M565" t="n">
        <v>0</v>
      </c>
      <c r="N565" t="n">
        <v>0</v>
      </c>
      <c r="O565" t="n">
        <v>0</v>
      </c>
      <c r="P565" t="n">
        <v>0</v>
      </c>
      <c r="Q565" t="n">
        <v>0</v>
      </c>
      <c r="R565" s="2" t="inlineStr"/>
    </row>
    <row r="566" ht="15" customHeight="1">
      <c r="A566" t="inlineStr">
        <is>
          <t>A 24235-2025</t>
        </is>
      </c>
      <c r="B566" s="1" t="n">
        <v>45797.38252314815</v>
      </c>
      <c r="C566" s="1" t="n">
        <v>46036</v>
      </c>
      <c r="D566" t="inlineStr">
        <is>
          <t>DALARNAS LÄN</t>
        </is>
      </c>
      <c r="E566" t="inlineStr">
        <is>
          <t>ORSA</t>
        </is>
      </c>
      <c r="G566" t="n">
        <v>3.1</v>
      </c>
      <c r="H566" t="n">
        <v>0</v>
      </c>
      <c r="I566" t="n">
        <v>0</v>
      </c>
      <c r="J566" t="n">
        <v>0</v>
      </c>
      <c r="K566" t="n">
        <v>0</v>
      </c>
      <c r="L566" t="n">
        <v>0</v>
      </c>
      <c r="M566" t="n">
        <v>0</v>
      </c>
      <c r="N566" t="n">
        <v>0</v>
      </c>
      <c r="O566" t="n">
        <v>0</v>
      </c>
      <c r="P566" t="n">
        <v>0</v>
      </c>
      <c r="Q566" t="n">
        <v>0</v>
      </c>
      <c r="R566" s="2" t="inlineStr"/>
    </row>
    <row r="567" ht="15" customHeight="1">
      <c r="A567" t="inlineStr">
        <is>
          <t>A 24969-2025</t>
        </is>
      </c>
      <c r="B567" s="1" t="n">
        <v>45799</v>
      </c>
      <c r="C567" s="1" t="n">
        <v>46036</v>
      </c>
      <c r="D567" t="inlineStr">
        <is>
          <t>DALARNAS LÄN</t>
        </is>
      </c>
      <c r="E567" t="inlineStr">
        <is>
          <t>ORSA</t>
        </is>
      </c>
      <c r="F567" t="inlineStr">
        <is>
          <t>Allmännings- och besparingsskogar</t>
        </is>
      </c>
      <c r="G567" t="n">
        <v>2.6</v>
      </c>
      <c r="H567" t="n">
        <v>0</v>
      </c>
      <c r="I567" t="n">
        <v>0</v>
      </c>
      <c r="J567" t="n">
        <v>0</v>
      </c>
      <c r="K567" t="n">
        <v>0</v>
      </c>
      <c r="L567" t="n">
        <v>0</v>
      </c>
      <c r="M567" t="n">
        <v>0</v>
      </c>
      <c r="N567" t="n">
        <v>0</v>
      </c>
      <c r="O567" t="n">
        <v>0</v>
      </c>
      <c r="P567" t="n">
        <v>0</v>
      </c>
      <c r="Q567" t="n">
        <v>0</v>
      </c>
      <c r="R567" s="2" t="inlineStr"/>
    </row>
    <row r="568" ht="15" customHeight="1">
      <c r="A568" t="inlineStr">
        <is>
          <t>A 25211-2025</t>
        </is>
      </c>
      <c r="B568" s="1" t="n">
        <v>45800.46965277778</v>
      </c>
      <c r="C568" s="1" t="n">
        <v>46036</v>
      </c>
      <c r="D568" t="inlineStr">
        <is>
          <t>DALARNAS LÄN</t>
        </is>
      </c>
      <c r="E568" t="inlineStr">
        <is>
          <t>ORSA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18817-2023</t>
        </is>
      </c>
      <c r="B569" s="1" t="n">
        <v>45043</v>
      </c>
      <c r="C569" s="1" t="n">
        <v>46036</v>
      </c>
      <c r="D569" t="inlineStr">
        <is>
          <t>DALARNAS LÄN</t>
        </is>
      </c>
      <c r="E569" t="inlineStr">
        <is>
          <t>ORSA</t>
        </is>
      </c>
      <c r="G569" t="n">
        <v>4.4</v>
      </c>
      <c r="H569" t="n">
        <v>0</v>
      </c>
      <c r="I569" t="n">
        <v>0</v>
      </c>
      <c r="J569" t="n">
        <v>0</v>
      </c>
      <c r="K569" t="n">
        <v>0</v>
      </c>
      <c r="L569" t="n">
        <v>0</v>
      </c>
      <c r="M569" t="n">
        <v>0</v>
      </c>
      <c r="N569" t="n">
        <v>0</v>
      </c>
      <c r="O569" t="n">
        <v>0</v>
      </c>
      <c r="P569" t="n">
        <v>0</v>
      </c>
      <c r="Q569" t="n">
        <v>0</v>
      </c>
      <c r="R569" s="2" t="inlineStr"/>
    </row>
    <row r="570" ht="15" customHeight="1">
      <c r="A570" t="inlineStr">
        <is>
          <t>A 26741-2025</t>
        </is>
      </c>
      <c r="B570" s="1" t="n">
        <v>45810.52444444445</v>
      </c>
      <c r="C570" s="1" t="n">
        <v>46036</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20302-2023</t>
        </is>
      </c>
      <c r="B571" s="1" t="n">
        <v>45056</v>
      </c>
      <c r="C571" s="1" t="n">
        <v>46036</v>
      </c>
      <c r="D571" t="inlineStr">
        <is>
          <t>DALARNAS LÄN</t>
        </is>
      </c>
      <c r="E571" t="inlineStr">
        <is>
          <t>ORSA</t>
        </is>
      </c>
      <c r="G571" t="n">
        <v>2.1</v>
      </c>
      <c r="H571" t="n">
        <v>0</v>
      </c>
      <c r="I571" t="n">
        <v>0</v>
      </c>
      <c r="J571" t="n">
        <v>0</v>
      </c>
      <c r="K571" t="n">
        <v>0</v>
      </c>
      <c r="L571" t="n">
        <v>0</v>
      </c>
      <c r="M571" t="n">
        <v>0</v>
      </c>
      <c r="N571" t="n">
        <v>0</v>
      </c>
      <c r="O571" t="n">
        <v>0</v>
      </c>
      <c r="P571" t="n">
        <v>0</v>
      </c>
      <c r="Q571" t="n">
        <v>0</v>
      </c>
      <c r="R571" s="2" t="inlineStr"/>
    </row>
    <row r="572">
      <c r="A572" t="inlineStr">
        <is>
          <t>A 21364-2025</t>
        </is>
      </c>
      <c r="B572" s="1" t="n">
        <v>45782</v>
      </c>
      <c r="C572" s="1" t="n">
        <v>46036</v>
      </c>
      <c r="D572" t="inlineStr">
        <is>
          <t>DALARNAS LÄN</t>
        </is>
      </c>
      <c r="E572" t="inlineStr">
        <is>
          <t>ORSA</t>
        </is>
      </c>
      <c r="F572" t="inlineStr">
        <is>
          <t>Allmännings- och besparingsskogar</t>
        </is>
      </c>
      <c r="G572" t="n">
        <v>52.6</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2026-01-14T10:51:17Z</dcterms:created>
  <dcterms:modified xmlns:dcterms="http://purl.org/dc/terms/" xmlns:xsi="http://www.w3.org/2001/XMLSchema-instance" xsi:type="dcterms:W3CDTF">2026-01-14T10:51:17Z</dcterms:modified>
</cp:coreProperties>
</file>