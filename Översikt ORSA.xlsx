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45729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45729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45729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45729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45729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45729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45729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45729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45729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45729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45729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45729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45729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45729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45729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42651-2020</t>
        </is>
      </c>
      <c r="B48" s="1" t="n">
        <v>44077</v>
      </c>
      <c r="C48" s="1" t="n">
        <v>45729</v>
      </c>
      <c r="D48" t="inlineStr">
        <is>
          <t>DALARNAS LÄN</t>
        </is>
      </c>
      <c r="E48" t="inlineStr">
        <is>
          <t>ORSA</t>
        </is>
      </c>
      <c r="G48" t="n">
        <v>3.9</v>
      </c>
      <c r="H48" t="n">
        <v>0</v>
      </c>
      <c r="I48" t="n">
        <v>0</v>
      </c>
      <c r="J48" t="n">
        <v>3</v>
      </c>
      <c r="K48" t="n">
        <v>0</v>
      </c>
      <c r="L48" t="n">
        <v>0</v>
      </c>
      <c r="M48" t="n">
        <v>0</v>
      </c>
      <c r="N48" t="n">
        <v>0</v>
      </c>
      <c r="O48" t="n">
        <v>3</v>
      </c>
      <c r="P48" t="n">
        <v>0</v>
      </c>
      <c r="Q48" t="n">
        <v>3</v>
      </c>
      <c r="R48" s="2" t="inlineStr">
        <is>
          <t>Skrovellav
Tallticka
Vedflamlav</t>
        </is>
      </c>
      <c r="S48">
        <f>HYPERLINK("https://klasma.github.io/Logging_2034/artfynd/A 42651-2020 artfynd.xlsx", "A 42651-2020")</f>
        <v/>
      </c>
      <c r="T48">
        <f>HYPERLINK("https://klasma.github.io/Logging_2034/kartor/A 42651-2020 karta.png", "A 42651-2020")</f>
        <v/>
      </c>
      <c r="V48">
        <f>HYPERLINK("https://klasma.github.io/Logging_2034/klagomål/A 42651-2020 FSC-klagomål.docx", "A 42651-2020")</f>
        <v/>
      </c>
      <c r="W48">
        <f>HYPERLINK("https://klasma.github.io/Logging_2034/klagomålsmail/A 42651-2020 FSC-klagomål mail.docx", "A 42651-2020")</f>
        <v/>
      </c>
      <c r="X48">
        <f>HYPERLINK("https://klasma.github.io/Logging_2034/tillsyn/A 42651-2020 tillsynsbegäran.docx", "A 42651-2020")</f>
        <v/>
      </c>
      <c r="Y48">
        <f>HYPERLINK("https://klasma.github.io/Logging_2034/tillsynsmail/A 42651-2020 tillsynsbegäran mail.docx", "A 42651-2020")</f>
        <v/>
      </c>
    </row>
    <row r="49" ht="15" customHeight="1">
      <c r="A49" t="inlineStr">
        <is>
          <t>A 30654-2024</t>
        </is>
      </c>
      <c r="B49" s="1" t="n">
        <v>45495</v>
      </c>
      <c r="C49" s="1" t="n">
        <v>45729</v>
      </c>
      <c r="D49" t="inlineStr">
        <is>
          <t>DALARNAS LÄN</t>
        </is>
      </c>
      <c r="E49" t="inlineStr">
        <is>
          <t>ORSA</t>
        </is>
      </c>
      <c r="F49" t="inlineStr">
        <is>
          <t>Allmännings- och besparingsskogar</t>
        </is>
      </c>
      <c r="G49" t="n">
        <v>1.9</v>
      </c>
      <c r="H49" t="n">
        <v>1</v>
      </c>
      <c r="I49" t="n">
        <v>0</v>
      </c>
      <c r="J49" t="n">
        <v>2</v>
      </c>
      <c r="K49" t="n">
        <v>1</v>
      </c>
      <c r="L49" t="n">
        <v>0</v>
      </c>
      <c r="M49" t="n">
        <v>0</v>
      </c>
      <c r="N49" t="n">
        <v>0</v>
      </c>
      <c r="O49" t="n">
        <v>3</v>
      </c>
      <c r="P49" t="n">
        <v>1</v>
      </c>
      <c r="Q49" t="n">
        <v>3</v>
      </c>
      <c r="R49" s="2" t="inlineStr">
        <is>
          <t>Knärot
Garnlav
Granticka</t>
        </is>
      </c>
      <c r="S49">
        <f>HYPERLINK("https://klasma.github.io/Logging_2034/artfynd/A 30654-2024 artfynd.xlsx", "A 30654-2024")</f>
        <v/>
      </c>
      <c r="T49">
        <f>HYPERLINK("https://klasma.github.io/Logging_2034/kartor/A 30654-2024 karta.png", "A 30654-2024")</f>
        <v/>
      </c>
      <c r="U49">
        <f>HYPERLINK("https://klasma.github.io/Logging_2034/knärot/A 30654-2024 karta knärot.png", "A 30654-2024")</f>
        <v/>
      </c>
      <c r="V49">
        <f>HYPERLINK("https://klasma.github.io/Logging_2034/klagomål/A 30654-2024 FSC-klagomål.docx", "A 30654-2024")</f>
        <v/>
      </c>
      <c r="W49">
        <f>HYPERLINK("https://klasma.github.io/Logging_2034/klagomålsmail/A 30654-2024 FSC-klagomål mail.docx", "A 30654-2024")</f>
        <v/>
      </c>
      <c r="X49">
        <f>HYPERLINK("https://klasma.github.io/Logging_2034/tillsyn/A 30654-2024 tillsynsbegäran.docx", "A 30654-2024")</f>
        <v/>
      </c>
      <c r="Y49">
        <f>HYPERLINK("https://klasma.github.io/Logging_2034/tillsynsmail/A 30654-2024 tillsynsbegäran mail.docx", "A 30654-2024")</f>
        <v/>
      </c>
    </row>
    <row r="50" ht="15" customHeight="1">
      <c r="A50" t="inlineStr">
        <is>
          <t>A 7618-2025</t>
        </is>
      </c>
      <c r="B50" s="1" t="n">
        <v>45705</v>
      </c>
      <c r="C50" s="1" t="n">
        <v>45729</v>
      </c>
      <c r="D50" t="inlineStr">
        <is>
          <t>DALARNAS LÄN</t>
        </is>
      </c>
      <c r="E50" t="inlineStr">
        <is>
          <t>ORSA</t>
        </is>
      </c>
      <c r="G50" t="n">
        <v>0.9</v>
      </c>
      <c r="H50" t="n">
        <v>1</v>
      </c>
      <c r="I50" t="n">
        <v>0</v>
      </c>
      <c r="J50" t="n">
        <v>3</v>
      </c>
      <c r="K50" t="n">
        <v>0</v>
      </c>
      <c r="L50" t="n">
        <v>0</v>
      </c>
      <c r="M50" t="n">
        <v>0</v>
      </c>
      <c r="N50" t="n">
        <v>0</v>
      </c>
      <c r="O50" t="n">
        <v>3</v>
      </c>
      <c r="P50" t="n">
        <v>0</v>
      </c>
      <c r="Q50" t="n">
        <v>3</v>
      </c>
      <c r="R50" s="2" t="inlineStr">
        <is>
          <t>Garnlav
Kolflarnlav
Talltita</t>
        </is>
      </c>
      <c r="S50">
        <f>HYPERLINK("https://klasma.github.io/Logging_2034/artfynd/A 7618-2025 artfynd.xlsx", "A 7618-2025")</f>
        <v/>
      </c>
      <c r="T50">
        <f>HYPERLINK("https://klasma.github.io/Logging_2034/kartor/A 7618-2025 karta.png",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63810-2021</t>
        </is>
      </c>
      <c r="B51" s="1" t="n">
        <v>44509</v>
      </c>
      <c r="C51" s="1" t="n">
        <v>45729</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20914-2022</t>
        </is>
      </c>
      <c r="B52" s="1" t="n">
        <v>44701</v>
      </c>
      <c r="C52" s="1" t="n">
        <v>45729</v>
      </c>
      <c r="D52" t="inlineStr">
        <is>
          <t>DALARNAS LÄN</t>
        </is>
      </c>
      <c r="E52" t="inlineStr">
        <is>
          <t>ORSA</t>
        </is>
      </c>
      <c r="F52" t="inlineStr">
        <is>
          <t>Allmännings- och besparingsskogar</t>
        </is>
      </c>
      <c r="G52" t="n">
        <v>32.6</v>
      </c>
      <c r="H52" t="n">
        <v>1</v>
      </c>
      <c r="I52" t="n">
        <v>1</v>
      </c>
      <c r="J52" t="n">
        <v>1</v>
      </c>
      <c r="K52" t="n">
        <v>0</v>
      </c>
      <c r="L52" t="n">
        <v>0</v>
      </c>
      <c r="M52" t="n">
        <v>0</v>
      </c>
      <c r="N52" t="n">
        <v>0</v>
      </c>
      <c r="O52" t="n">
        <v>1</v>
      </c>
      <c r="P52" t="n">
        <v>0</v>
      </c>
      <c r="Q52" t="n">
        <v>2</v>
      </c>
      <c r="R52" s="2" t="inlineStr">
        <is>
          <t>Kungsörn
Vågbandad barkbock</t>
        </is>
      </c>
      <c r="S52">
        <f>HYPERLINK("https://klasma.github.io/Logging_2034/artfynd/A 20914-2022 artfynd.xlsx", "A 20914-2022")</f>
        <v/>
      </c>
      <c r="T52">
        <f>HYPERLINK("https://klasma.github.io/Logging_2034/kartor/A 20914-2022 karta.png", "A 20914-2022")</f>
        <v/>
      </c>
      <c r="V52">
        <f>HYPERLINK("https://klasma.github.io/Logging_2034/klagomål/A 20914-2022 FSC-klagomål.docx", "A 20914-2022")</f>
        <v/>
      </c>
      <c r="W52">
        <f>HYPERLINK("https://klasma.github.io/Logging_2034/klagomålsmail/A 20914-2022 FSC-klagomål mail.docx", "A 20914-2022")</f>
        <v/>
      </c>
      <c r="X52">
        <f>HYPERLINK("https://klasma.github.io/Logging_2034/tillsyn/A 20914-2022 tillsynsbegäran.docx", "A 20914-2022")</f>
        <v/>
      </c>
      <c r="Y52">
        <f>HYPERLINK("https://klasma.github.io/Logging_2034/tillsynsmail/A 20914-2022 tillsynsbegäran mail.docx", "A 20914-2022")</f>
        <v/>
      </c>
      <c r="Z52">
        <f>HYPERLINK("https://klasma.github.io/Logging_2034/fåglar/A 20914-2022 prioriterade fågelarter.docx", "A 20914-2022")</f>
        <v/>
      </c>
    </row>
    <row r="53" ht="15" customHeight="1">
      <c r="A53" t="inlineStr">
        <is>
          <t>A 47714-2022</t>
        </is>
      </c>
      <c r="B53" s="1" t="n">
        <v>44854</v>
      </c>
      <c r="C53" s="1" t="n">
        <v>45729</v>
      </c>
      <c r="D53" t="inlineStr">
        <is>
          <t>DALARNAS LÄN</t>
        </is>
      </c>
      <c r="E53" t="inlineStr">
        <is>
          <t>ORSA</t>
        </is>
      </c>
      <c r="F53" t="inlineStr">
        <is>
          <t>Bergvik skog öst AB</t>
        </is>
      </c>
      <c r="G53" t="n">
        <v>4.6</v>
      </c>
      <c r="H53" t="n">
        <v>2</v>
      </c>
      <c r="I53" t="n">
        <v>1</v>
      </c>
      <c r="J53" t="n">
        <v>1</v>
      </c>
      <c r="K53" t="n">
        <v>0</v>
      </c>
      <c r="L53" t="n">
        <v>0</v>
      </c>
      <c r="M53" t="n">
        <v>0</v>
      </c>
      <c r="N53" t="n">
        <v>0</v>
      </c>
      <c r="O53" t="n">
        <v>1</v>
      </c>
      <c r="P53" t="n">
        <v>0</v>
      </c>
      <c r="Q53" t="n">
        <v>2</v>
      </c>
      <c r="R53" s="2" t="inlineStr">
        <is>
          <t>Talltita
Plattlummer</t>
        </is>
      </c>
      <c r="S53">
        <f>HYPERLINK("https://klasma.github.io/Logging_2034/artfynd/A 47714-2022 artfynd.xlsx", "A 47714-2022")</f>
        <v/>
      </c>
      <c r="T53">
        <f>HYPERLINK("https://klasma.github.io/Logging_2034/kartor/A 47714-2022 karta.png", "A 47714-2022")</f>
        <v/>
      </c>
      <c r="V53">
        <f>HYPERLINK("https://klasma.github.io/Logging_2034/klagomål/A 47714-2022 FSC-klagomål.docx", "A 47714-2022")</f>
        <v/>
      </c>
      <c r="W53">
        <f>HYPERLINK("https://klasma.github.io/Logging_2034/klagomålsmail/A 47714-2022 FSC-klagomål mail.docx", "A 47714-2022")</f>
        <v/>
      </c>
      <c r="X53">
        <f>HYPERLINK("https://klasma.github.io/Logging_2034/tillsyn/A 47714-2022 tillsynsbegäran.docx", "A 47714-2022")</f>
        <v/>
      </c>
      <c r="Y53">
        <f>HYPERLINK("https://klasma.github.io/Logging_2034/tillsynsmail/A 47714-2022 tillsynsbegäran mail.docx", "A 47714-2022")</f>
        <v/>
      </c>
      <c r="Z53">
        <f>HYPERLINK("https://klasma.github.io/Logging_2034/fåglar/A 47714-2022 prioriterade fågelarter.docx", "A 47714-2022")</f>
        <v/>
      </c>
    </row>
    <row r="54" ht="15" customHeight="1">
      <c r="A54" t="inlineStr">
        <is>
          <t>A 48343-2022</t>
        </is>
      </c>
      <c r="B54" s="1" t="n">
        <v>44858</v>
      </c>
      <c r="C54" s="1" t="n">
        <v>45729</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53629-2022</t>
        </is>
      </c>
      <c r="B55" s="1" t="n">
        <v>44879</v>
      </c>
      <c r="C55" s="1" t="n">
        <v>45729</v>
      </c>
      <c r="D55" t="inlineStr">
        <is>
          <t>DALARNAS LÄN</t>
        </is>
      </c>
      <c r="E55" t="inlineStr">
        <is>
          <t>ORSA</t>
        </is>
      </c>
      <c r="G55" t="n">
        <v>8.199999999999999</v>
      </c>
      <c r="H55" t="n">
        <v>2</v>
      </c>
      <c r="I55" t="n">
        <v>0</v>
      </c>
      <c r="J55" t="n">
        <v>0</v>
      </c>
      <c r="K55" t="n">
        <v>0</v>
      </c>
      <c r="L55" t="n">
        <v>0</v>
      </c>
      <c r="M55" t="n">
        <v>0</v>
      </c>
      <c r="N55" t="n">
        <v>0</v>
      </c>
      <c r="O55" t="n">
        <v>0</v>
      </c>
      <c r="P55" t="n">
        <v>0</v>
      </c>
      <c r="Q55" t="n">
        <v>2</v>
      </c>
      <c r="R55" s="2" t="inlineStr">
        <is>
          <t>Större vattensalamander
Mindre vattensalamander</t>
        </is>
      </c>
      <c r="S55">
        <f>HYPERLINK("https://klasma.github.io/Logging_2034/artfynd/A 53629-2022 artfynd.xlsx", "A 53629-2022")</f>
        <v/>
      </c>
      <c r="T55">
        <f>HYPERLINK("https://klasma.github.io/Logging_2034/kartor/A 53629-2022 karta.png", "A 53629-2022")</f>
        <v/>
      </c>
      <c r="V55">
        <f>HYPERLINK("https://klasma.github.io/Logging_2034/klagomål/A 53629-2022 FSC-klagomål.docx", "A 53629-2022")</f>
        <v/>
      </c>
      <c r="W55">
        <f>HYPERLINK("https://klasma.github.io/Logging_2034/klagomålsmail/A 53629-2022 FSC-klagomål mail.docx", "A 53629-2022")</f>
        <v/>
      </c>
      <c r="X55">
        <f>HYPERLINK("https://klasma.github.io/Logging_2034/tillsyn/A 53629-2022 tillsynsbegäran.docx", "A 53629-2022")</f>
        <v/>
      </c>
      <c r="Y55">
        <f>HYPERLINK("https://klasma.github.io/Logging_2034/tillsynsmail/A 53629-2022 tillsynsbegäran mail.docx", "A 53629-2022")</f>
        <v/>
      </c>
    </row>
    <row r="56" ht="15" customHeight="1">
      <c r="A56" t="inlineStr">
        <is>
          <t>A 44656-2023</t>
        </is>
      </c>
      <c r="B56" s="1" t="n">
        <v>45189</v>
      </c>
      <c r="C56" s="1" t="n">
        <v>45729</v>
      </c>
      <c r="D56" t="inlineStr">
        <is>
          <t>DALARNAS LÄN</t>
        </is>
      </c>
      <c r="E56" t="inlineStr">
        <is>
          <t>ORSA</t>
        </is>
      </c>
      <c r="F56" t="inlineStr">
        <is>
          <t>Bergvik skog öst AB</t>
        </is>
      </c>
      <c r="G56" t="n">
        <v>3.4</v>
      </c>
      <c r="H56" t="n">
        <v>2</v>
      </c>
      <c r="I56" t="n">
        <v>0</v>
      </c>
      <c r="J56" t="n">
        <v>2</v>
      </c>
      <c r="K56" t="n">
        <v>0</v>
      </c>
      <c r="L56" t="n">
        <v>0</v>
      </c>
      <c r="M56" t="n">
        <v>0</v>
      </c>
      <c r="N56" t="n">
        <v>0</v>
      </c>
      <c r="O56" t="n">
        <v>2</v>
      </c>
      <c r="P56" t="n">
        <v>0</v>
      </c>
      <c r="Q56" t="n">
        <v>2</v>
      </c>
      <c r="R56" s="2" t="inlineStr">
        <is>
          <t>Spillkråka
Tretåig hackspett</t>
        </is>
      </c>
      <c r="S56">
        <f>HYPERLINK("https://klasma.github.io/Logging_2034/artfynd/A 44656-2023 artfynd.xlsx", "A 44656-2023")</f>
        <v/>
      </c>
      <c r="T56">
        <f>HYPERLINK("https://klasma.github.io/Logging_2034/kartor/A 44656-2023 karta.png", "A 44656-2023")</f>
        <v/>
      </c>
      <c r="V56">
        <f>HYPERLINK("https://klasma.github.io/Logging_2034/klagomål/A 44656-2023 FSC-klagomål.docx", "A 44656-2023")</f>
        <v/>
      </c>
      <c r="W56">
        <f>HYPERLINK("https://klasma.github.io/Logging_2034/klagomålsmail/A 44656-2023 FSC-klagomål mail.docx", "A 44656-2023")</f>
        <v/>
      </c>
      <c r="X56">
        <f>HYPERLINK("https://klasma.github.io/Logging_2034/tillsyn/A 44656-2023 tillsynsbegäran.docx", "A 44656-2023")</f>
        <v/>
      </c>
      <c r="Y56">
        <f>HYPERLINK("https://klasma.github.io/Logging_2034/tillsynsmail/A 44656-2023 tillsynsbegäran mail.docx", "A 44656-2023")</f>
        <v/>
      </c>
      <c r="Z56">
        <f>HYPERLINK("https://klasma.github.io/Logging_2034/fåglar/A 44656-2023 prioriterade fågelarter.docx", "A 44656-2023")</f>
        <v/>
      </c>
    </row>
    <row r="57" ht="15" customHeight="1">
      <c r="A57" t="inlineStr">
        <is>
          <t>A 6029-2024</t>
        </is>
      </c>
      <c r="B57" s="1" t="n">
        <v>45336</v>
      </c>
      <c r="C57" s="1" t="n">
        <v>45729</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52927-2024</t>
        </is>
      </c>
      <c r="B58" s="1" t="n">
        <v>45610</v>
      </c>
      <c r="C58" s="1" t="n">
        <v>45729</v>
      </c>
      <c r="D58" t="inlineStr">
        <is>
          <t>DALARNAS LÄN</t>
        </is>
      </c>
      <c r="E58" t="inlineStr">
        <is>
          <t>ORSA</t>
        </is>
      </c>
      <c r="F58" t="inlineStr">
        <is>
          <t>Allmännings- och besparingsskogar</t>
        </is>
      </c>
      <c r="G58" t="n">
        <v>1.6</v>
      </c>
      <c r="H58" t="n">
        <v>0</v>
      </c>
      <c r="I58" t="n">
        <v>0</v>
      </c>
      <c r="J58" t="n">
        <v>2</v>
      </c>
      <c r="K58" t="n">
        <v>0</v>
      </c>
      <c r="L58" t="n">
        <v>0</v>
      </c>
      <c r="M58" t="n">
        <v>0</v>
      </c>
      <c r="N58" t="n">
        <v>0</v>
      </c>
      <c r="O58" t="n">
        <v>2</v>
      </c>
      <c r="P58" t="n">
        <v>0</v>
      </c>
      <c r="Q58" t="n">
        <v>2</v>
      </c>
      <c r="R58" s="2" t="inlineStr">
        <is>
          <t>Garnlav
Ullticka</t>
        </is>
      </c>
      <c r="S58">
        <f>HYPERLINK("https://klasma.github.io/Logging_2034/artfynd/A 52927-2024 artfynd.xlsx", "A 52927-2024")</f>
        <v/>
      </c>
      <c r="T58">
        <f>HYPERLINK("https://klasma.github.io/Logging_2034/kartor/A 52927-2024 karta.png", "A 52927-2024")</f>
        <v/>
      </c>
      <c r="V58">
        <f>HYPERLINK("https://klasma.github.io/Logging_2034/klagomål/A 52927-2024 FSC-klagomål.docx", "A 52927-2024")</f>
        <v/>
      </c>
      <c r="W58">
        <f>HYPERLINK("https://klasma.github.io/Logging_2034/klagomålsmail/A 52927-2024 FSC-klagomål mail.docx", "A 52927-2024")</f>
        <v/>
      </c>
      <c r="X58">
        <f>HYPERLINK("https://klasma.github.io/Logging_2034/tillsyn/A 52927-2024 tillsynsbegäran.docx", "A 52927-2024")</f>
        <v/>
      </c>
      <c r="Y58">
        <f>HYPERLINK("https://klasma.github.io/Logging_2034/tillsynsmail/A 52927-2024 tillsynsbegäran mail.docx", "A 52927-2024")</f>
        <v/>
      </c>
    </row>
    <row r="59" ht="15" customHeight="1">
      <c r="A59" t="inlineStr">
        <is>
          <t>A 32094-2019</t>
        </is>
      </c>
      <c r="B59" s="1" t="n">
        <v>43643</v>
      </c>
      <c r="C59" s="1" t="n">
        <v>45729</v>
      </c>
      <c r="D59" t="inlineStr">
        <is>
          <t>DALARNAS LÄN</t>
        </is>
      </c>
      <c r="E59" t="inlineStr">
        <is>
          <t>ORSA</t>
        </is>
      </c>
      <c r="F59" t="inlineStr">
        <is>
          <t>Bergvik skog väst AB</t>
        </is>
      </c>
      <c r="G59" t="n">
        <v>19.2</v>
      </c>
      <c r="H59" t="n">
        <v>1</v>
      </c>
      <c r="I59" t="n">
        <v>0</v>
      </c>
      <c r="J59" t="n">
        <v>0</v>
      </c>
      <c r="K59" t="n">
        <v>0</v>
      </c>
      <c r="L59" t="n">
        <v>0</v>
      </c>
      <c r="M59" t="n">
        <v>0</v>
      </c>
      <c r="N59" t="n">
        <v>0</v>
      </c>
      <c r="O59" t="n">
        <v>0</v>
      </c>
      <c r="P59" t="n">
        <v>0</v>
      </c>
      <c r="Q59" t="n">
        <v>1</v>
      </c>
      <c r="R59" s="2" t="inlineStr">
        <is>
          <t>Revlummer</t>
        </is>
      </c>
      <c r="S59">
        <f>HYPERLINK("https://klasma.github.io/Logging_2034/artfynd/A 32094-2019 artfynd.xlsx", "A 32094-2019")</f>
        <v/>
      </c>
      <c r="T59">
        <f>HYPERLINK("https://klasma.github.io/Logging_2034/kartor/A 32094-2019 karta.png", "A 32094-2019")</f>
        <v/>
      </c>
      <c r="V59">
        <f>HYPERLINK("https://klasma.github.io/Logging_2034/klagomål/A 32094-2019 FSC-klagomål.docx", "A 32094-2019")</f>
        <v/>
      </c>
      <c r="W59">
        <f>HYPERLINK("https://klasma.github.io/Logging_2034/klagomålsmail/A 32094-2019 FSC-klagomål mail.docx", "A 32094-2019")</f>
        <v/>
      </c>
      <c r="X59">
        <f>HYPERLINK("https://klasma.github.io/Logging_2034/tillsyn/A 32094-2019 tillsynsbegäran.docx", "A 32094-2019")</f>
        <v/>
      </c>
      <c r="Y59">
        <f>HYPERLINK("https://klasma.github.io/Logging_2034/tillsynsmail/A 32094-2019 tillsynsbegäran mail.docx", "A 32094-2019")</f>
        <v/>
      </c>
    </row>
    <row r="60" ht="15" customHeight="1">
      <c r="A60" t="inlineStr">
        <is>
          <t>A 38211-2020</t>
        </is>
      </c>
      <c r="B60" s="1" t="n">
        <v>44060</v>
      </c>
      <c r="C60" s="1" t="n">
        <v>45729</v>
      </c>
      <c r="D60" t="inlineStr">
        <is>
          <t>DALARNAS LÄN</t>
        </is>
      </c>
      <c r="E60" t="inlineStr">
        <is>
          <t>ORSA</t>
        </is>
      </c>
      <c r="G60" t="n">
        <v>1.2</v>
      </c>
      <c r="H60" t="n">
        <v>1</v>
      </c>
      <c r="I60" t="n">
        <v>0</v>
      </c>
      <c r="J60" t="n">
        <v>1</v>
      </c>
      <c r="K60" t="n">
        <v>0</v>
      </c>
      <c r="L60" t="n">
        <v>0</v>
      </c>
      <c r="M60" t="n">
        <v>0</v>
      </c>
      <c r="N60" t="n">
        <v>0</v>
      </c>
      <c r="O60" t="n">
        <v>1</v>
      </c>
      <c r="P60" t="n">
        <v>0</v>
      </c>
      <c r="Q60" t="n">
        <v>1</v>
      </c>
      <c r="R60" s="2" t="inlineStr">
        <is>
          <t>Utter</t>
        </is>
      </c>
      <c r="S60">
        <f>HYPERLINK("https://klasma.github.io/Logging_2034/artfynd/A 38211-2020 artfynd.xlsx", "A 38211-2020")</f>
        <v/>
      </c>
      <c r="T60">
        <f>HYPERLINK("https://klasma.github.io/Logging_2034/kartor/A 38211-2020 karta.png", "A 38211-2020")</f>
        <v/>
      </c>
      <c r="V60">
        <f>HYPERLINK("https://klasma.github.io/Logging_2034/klagomål/A 38211-2020 FSC-klagomål.docx", "A 38211-2020")</f>
        <v/>
      </c>
      <c r="W60">
        <f>HYPERLINK("https://klasma.github.io/Logging_2034/klagomålsmail/A 38211-2020 FSC-klagomål mail.docx", "A 38211-2020")</f>
        <v/>
      </c>
      <c r="X60">
        <f>HYPERLINK("https://klasma.github.io/Logging_2034/tillsyn/A 38211-2020 tillsynsbegäran.docx", "A 38211-2020")</f>
        <v/>
      </c>
      <c r="Y60">
        <f>HYPERLINK("https://klasma.github.io/Logging_2034/tillsynsmail/A 38211-2020 tillsynsbegäran mail.docx", "A 38211-2020")</f>
        <v/>
      </c>
    </row>
    <row r="61" ht="15" customHeight="1">
      <c r="A61" t="inlineStr">
        <is>
          <t>A 4144-2022</t>
        </is>
      </c>
      <c r="B61" s="1" t="n">
        <v>44588</v>
      </c>
      <c r="C61" s="1" t="n">
        <v>45729</v>
      </c>
      <c r="D61" t="inlineStr">
        <is>
          <t>DALARNAS LÄN</t>
        </is>
      </c>
      <c r="E61" t="inlineStr">
        <is>
          <t>ORSA</t>
        </is>
      </c>
      <c r="G61" t="n">
        <v>1</v>
      </c>
      <c r="H61" t="n">
        <v>0</v>
      </c>
      <c r="I61" t="n">
        <v>1</v>
      </c>
      <c r="J61" t="n">
        <v>0</v>
      </c>
      <c r="K61" t="n">
        <v>0</v>
      </c>
      <c r="L61" t="n">
        <v>0</v>
      </c>
      <c r="M61" t="n">
        <v>0</v>
      </c>
      <c r="N61" t="n">
        <v>0</v>
      </c>
      <c r="O61" t="n">
        <v>0</v>
      </c>
      <c r="P61" t="n">
        <v>0</v>
      </c>
      <c r="Q61" t="n">
        <v>1</v>
      </c>
      <c r="R61" s="2" t="inlineStr">
        <is>
          <t>Svart trolldruva</t>
        </is>
      </c>
      <c r="S61">
        <f>HYPERLINK("https://klasma.github.io/Logging_2034/artfynd/A 4144-2022 artfynd.xlsx", "A 4144-2022")</f>
        <v/>
      </c>
      <c r="T61">
        <f>HYPERLINK("https://klasma.github.io/Logging_2034/kartor/A 4144-2022 karta.png", "A 4144-2022")</f>
        <v/>
      </c>
      <c r="V61">
        <f>HYPERLINK("https://klasma.github.io/Logging_2034/klagomål/A 4144-2022 FSC-klagomål.docx", "A 4144-2022")</f>
        <v/>
      </c>
      <c r="W61">
        <f>HYPERLINK("https://klasma.github.io/Logging_2034/klagomålsmail/A 4144-2022 FSC-klagomål mail.docx", "A 4144-2022")</f>
        <v/>
      </c>
      <c r="X61">
        <f>HYPERLINK("https://klasma.github.io/Logging_2034/tillsyn/A 4144-2022 tillsynsbegäran.docx", "A 4144-2022")</f>
        <v/>
      </c>
      <c r="Y61">
        <f>HYPERLINK("https://klasma.github.io/Logging_2034/tillsynsmail/A 4144-2022 tillsynsbegäran mail.docx", "A 4144-2022")</f>
        <v/>
      </c>
    </row>
    <row r="62" ht="15" customHeight="1">
      <c r="A62" t="inlineStr">
        <is>
          <t>A 48766-2022</t>
        </is>
      </c>
      <c r="B62" s="1" t="n">
        <v>44859</v>
      </c>
      <c r="C62" s="1" t="n">
        <v>45729</v>
      </c>
      <c r="D62" t="inlineStr">
        <is>
          <t>DALARNAS LÄN</t>
        </is>
      </c>
      <c r="E62" t="inlineStr">
        <is>
          <t>ORSA</t>
        </is>
      </c>
      <c r="F62" t="inlineStr">
        <is>
          <t>Allmännings- och besparingsskogar</t>
        </is>
      </c>
      <c r="G62" t="n">
        <v>3.1</v>
      </c>
      <c r="H62" t="n">
        <v>0</v>
      </c>
      <c r="I62" t="n">
        <v>0</v>
      </c>
      <c r="J62" t="n">
        <v>1</v>
      </c>
      <c r="K62" t="n">
        <v>0</v>
      </c>
      <c r="L62" t="n">
        <v>0</v>
      </c>
      <c r="M62" t="n">
        <v>0</v>
      </c>
      <c r="N62" t="n">
        <v>0</v>
      </c>
      <c r="O62" t="n">
        <v>1</v>
      </c>
      <c r="P62" t="n">
        <v>0</v>
      </c>
      <c r="Q62" t="n">
        <v>1</v>
      </c>
      <c r="R62" s="2" t="inlineStr">
        <is>
          <t>Garnlav</t>
        </is>
      </c>
      <c r="S62">
        <f>HYPERLINK("https://klasma.github.io/Logging_2034/artfynd/A 48766-2022 artfynd.xlsx", "A 48766-2022")</f>
        <v/>
      </c>
      <c r="T62">
        <f>HYPERLINK("https://klasma.github.io/Logging_2034/kartor/A 48766-2022 karta.png", "A 48766-2022")</f>
        <v/>
      </c>
      <c r="V62">
        <f>HYPERLINK("https://klasma.github.io/Logging_2034/klagomål/A 48766-2022 FSC-klagomål.docx", "A 48766-2022")</f>
        <v/>
      </c>
      <c r="W62">
        <f>HYPERLINK("https://klasma.github.io/Logging_2034/klagomålsmail/A 48766-2022 FSC-klagomål mail.docx", "A 48766-2022")</f>
        <v/>
      </c>
      <c r="X62">
        <f>HYPERLINK("https://klasma.github.io/Logging_2034/tillsyn/A 48766-2022 tillsynsbegäran.docx", "A 48766-2022")</f>
        <v/>
      </c>
      <c r="Y62">
        <f>HYPERLINK("https://klasma.github.io/Logging_2034/tillsynsmail/A 48766-2022 tillsynsbegäran mail.docx", "A 48766-2022")</f>
        <v/>
      </c>
    </row>
    <row r="63" ht="15" customHeight="1">
      <c r="A63" t="inlineStr">
        <is>
          <t>A 29044-2023</t>
        </is>
      </c>
      <c r="B63" s="1" t="n">
        <v>45104</v>
      </c>
      <c r="C63" s="1" t="n">
        <v>45729</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Korallblylav</t>
        </is>
      </c>
      <c r="S63">
        <f>HYPERLINK("https://klasma.github.io/Logging_2034/artfynd/A 29044-2023 artfynd.xlsx", "A 29044-2023")</f>
        <v/>
      </c>
      <c r="T63">
        <f>HYPERLINK("https://klasma.github.io/Logging_2034/kartor/A 29044-2023 karta.png", "A 29044-2023")</f>
        <v/>
      </c>
      <c r="V63">
        <f>HYPERLINK("https://klasma.github.io/Logging_2034/klagomål/A 29044-2023 FSC-klagomål.docx", "A 29044-2023")</f>
        <v/>
      </c>
      <c r="W63">
        <f>HYPERLINK("https://klasma.github.io/Logging_2034/klagomålsmail/A 29044-2023 FSC-klagomål mail.docx", "A 29044-2023")</f>
        <v/>
      </c>
      <c r="X63">
        <f>HYPERLINK("https://klasma.github.io/Logging_2034/tillsyn/A 29044-2023 tillsynsbegäran.docx", "A 29044-2023")</f>
        <v/>
      </c>
      <c r="Y63">
        <f>HYPERLINK("https://klasma.github.io/Logging_2034/tillsynsmail/A 29044-2023 tillsynsbegäran mail.docx", "A 29044-2023")</f>
        <v/>
      </c>
    </row>
    <row r="64" ht="15" customHeight="1">
      <c r="A64" t="inlineStr">
        <is>
          <t>A 35112-2023</t>
        </is>
      </c>
      <c r="B64" s="1" t="n">
        <v>45145</v>
      </c>
      <c r="C64" s="1" t="n">
        <v>45729</v>
      </c>
      <c r="D64" t="inlineStr">
        <is>
          <t>DALARNAS LÄN</t>
        </is>
      </c>
      <c r="E64" t="inlineStr">
        <is>
          <t>ORSA</t>
        </is>
      </c>
      <c r="F64" t="inlineStr">
        <is>
          <t>Allmännings- och besparingsskogar</t>
        </is>
      </c>
      <c r="G64" t="n">
        <v>6.9</v>
      </c>
      <c r="H64" t="n">
        <v>0</v>
      </c>
      <c r="I64" t="n">
        <v>0</v>
      </c>
      <c r="J64" t="n">
        <v>1</v>
      </c>
      <c r="K64" t="n">
        <v>0</v>
      </c>
      <c r="L64" t="n">
        <v>0</v>
      </c>
      <c r="M64" t="n">
        <v>0</v>
      </c>
      <c r="N64" t="n">
        <v>0</v>
      </c>
      <c r="O64" t="n">
        <v>1</v>
      </c>
      <c r="P64" t="n">
        <v>0</v>
      </c>
      <c r="Q64" t="n">
        <v>1</v>
      </c>
      <c r="R64" s="2" t="inlineStr">
        <is>
          <t>Skrovellav</t>
        </is>
      </c>
      <c r="S64">
        <f>HYPERLINK("https://klasma.github.io/Logging_2034/artfynd/A 35112-2023 artfynd.xlsx", "A 35112-2023")</f>
        <v/>
      </c>
      <c r="T64">
        <f>HYPERLINK("https://klasma.github.io/Logging_2034/kartor/A 35112-2023 karta.png", "A 35112-2023")</f>
        <v/>
      </c>
      <c r="V64">
        <f>HYPERLINK("https://klasma.github.io/Logging_2034/klagomål/A 35112-2023 FSC-klagomål.docx", "A 35112-2023")</f>
        <v/>
      </c>
      <c r="W64">
        <f>HYPERLINK("https://klasma.github.io/Logging_2034/klagomålsmail/A 35112-2023 FSC-klagomål mail.docx", "A 35112-2023")</f>
        <v/>
      </c>
      <c r="X64">
        <f>HYPERLINK("https://klasma.github.io/Logging_2034/tillsyn/A 35112-2023 tillsynsbegäran.docx", "A 35112-2023")</f>
        <v/>
      </c>
      <c r="Y64">
        <f>HYPERLINK("https://klasma.github.io/Logging_2034/tillsynsmail/A 35112-2023 tillsynsbegäran mail.docx", "A 35112-2023")</f>
        <v/>
      </c>
    </row>
    <row r="65" ht="15" customHeight="1">
      <c r="A65" t="inlineStr">
        <is>
          <t>A 37887-2023</t>
        </is>
      </c>
      <c r="B65" s="1" t="n">
        <v>45160</v>
      </c>
      <c r="C65" s="1" t="n">
        <v>45729</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40288-2023</t>
        </is>
      </c>
      <c r="B66" s="1" t="n">
        <v>45169</v>
      </c>
      <c r="C66" s="1" t="n">
        <v>45729</v>
      </c>
      <c r="D66" t="inlineStr">
        <is>
          <t>DALARNAS LÄN</t>
        </is>
      </c>
      <c r="E66" t="inlineStr">
        <is>
          <t>ORSA</t>
        </is>
      </c>
      <c r="F66" t="inlineStr">
        <is>
          <t>Allmännings- och besparingsskogar</t>
        </is>
      </c>
      <c r="G66" t="n">
        <v>4.2</v>
      </c>
      <c r="H66" t="n">
        <v>0</v>
      </c>
      <c r="I66" t="n">
        <v>0</v>
      </c>
      <c r="J66" t="n">
        <v>1</v>
      </c>
      <c r="K66" t="n">
        <v>0</v>
      </c>
      <c r="L66" t="n">
        <v>0</v>
      </c>
      <c r="M66" t="n">
        <v>0</v>
      </c>
      <c r="N66" t="n">
        <v>0</v>
      </c>
      <c r="O66" t="n">
        <v>1</v>
      </c>
      <c r="P66" t="n">
        <v>0</v>
      </c>
      <c r="Q66" t="n">
        <v>1</v>
      </c>
      <c r="R66" s="2" t="inlineStr">
        <is>
          <t>Vedflamlav</t>
        </is>
      </c>
      <c r="S66">
        <f>HYPERLINK("https://klasma.github.io/Logging_2034/artfynd/A 40288-2023 artfynd.xlsx", "A 40288-2023")</f>
        <v/>
      </c>
      <c r="T66">
        <f>HYPERLINK("https://klasma.github.io/Logging_2034/kartor/A 40288-2023 karta.png", "A 40288-2023")</f>
        <v/>
      </c>
      <c r="V66">
        <f>HYPERLINK("https://klasma.github.io/Logging_2034/klagomål/A 40288-2023 FSC-klagomål.docx", "A 40288-2023")</f>
        <v/>
      </c>
      <c r="W66">
        <f>HYPERLINK("https://klasma.github.io/Logging_2034/klagomålsmail/A 40288-2023 FSC-klagomål mail.docx", "A 40288-2023")</f>
        <v/>
      </c>
      <c r="X66">
        <f>HYPERLINK("https://klasma.github.io/Logging_2034/tillsyn/A 40288-2023 tillsynsbegäran.docx", "A 40288-2023")</f>
        <v/>
      </c>
      <c r="Y66">
        <f>HYPERLINK("https://klasma.github.io/Logging_2034/tillsynsmail/A 40288-2023 tillsynsbegäran mail.docx", "A 40288-2023")</f>
        <v/>
      </c>
    </row>
    <row r="67" ht="15" customHeight="1">
      <c r="A67" t="inlineStr">
        <is>
          <t>A 46179-2023</t>
        </is>
      </c>
      <c r="B67" s="1" t="n">
        <v>45196</v>
      </c>
      <c r="C67" s="1" t="n">
        <v>45729</v>
      </c>
      <c r="D67" t="inlineStr">
        <is>
          <t>DALARNAS LÄN</t>
        </is>
      </c>
      <c r="E67" t="inlineStr">
        <is>
          <t>ORSA</t>
        </is>
      </c>
      <c r="G67" t="n">
        <v>4.1</v>
      </c>
      <c r="H67" t="n">
        <v>0</v>
      </c>
      <c r="I67" t="n">
        <v>1</v>
      </c>
      <c r="J67" t="n">
        <v>0</v>
      </c>
      <c r="K67" t="n">
        <v>0</v>
      </c>
      <c r="L67" t="n">
        <v>0</v>
      </c>
      <c r="M67" t="n">
        <v>0</v>
      </c>
      <c r="N67" t="n">
        <v>0</v>
      </c>
      <c r="O67" t="n">
        <v>0</v>
      </c>
      <c r="P67" t="n">
        <v>0</v>
      </c>
      <c r="Q67" t="n">
        <v>1</v>
      </c>
      <c r="R67" s="2" t="inlineStr">
        <is>
          <t>Dropptaggsvamp</t>
        </is>
      </c>
      <c r="S67">
        <f>HYPERLINK("https://klasma.github.io/Logging_2034/artfynd/A 46179-2023 artfynd.xlsx", "A 46179-2023")</f>
        <v/>
      </c>
      <c r="T67">
        <f>HYPERLINK("https://klasma.github.io/Logging_2034/kartor/A 46179-2023 karta.png", "A 46179-2023")</f>
        <v/>
      </c>
      <c r="V67">
        <f>HYPERLINK("https://klasma.github.io/Logging_2034/klagomål/A 46179-2023 FSC-klagomål.docx", "A 46179-2023")</f>
        <v/>
      </c>
      <c r="W67">
        <f>HYPERLINK("https://klasma.github.io/Logging_2034/klagomålsmail/A 46179-2023 FSC-klagomål mail.docx", "A 46179-2023")</f>
        <v/>
      </c>
      <c r="X67">
        <f>HYPERLINK("https://klasma.github.io/Logging_2034/tillsyn/A 46179-2023 tillsynsbegäran.docx", "A 46179-2023")</f>
        <v/>
      </c>
      <c r="Y67">
        <f>HYPERLINK("https://klasma.github.io/Logging_2034/tillsynsmail/A 46179-2023 tillsynsbegäran mail.docx", "A 46179-2023")</f>
        <v/>
      </c>
    </row>
    <row r="68" ht="15" customHeight="1">
      <c r="A68" t="inlineStr">
        <is>
          <t>A 48452-2023</t>
        </is>
      </c>
      <c r="B68" s="1" t="n">
        <v>45206</v>
      </c>
      <c r="C68" s="1" t="n">
        <v>45729</v>
      </c>
      <c r="D68" t="inlineStr">
        <is>
          <t>DALARNAS LÄN</t>
        </is>
      </c>
      <c r="E68" t="inlineStr">
        <is>
          <t>ORSA</t>
        </is>
      </c>
      <c r="G68" t="n">
        <v>1.5</v>
      </c>
      <c r="H68" t="n">
        <v>0</v>
      </c>
      <c r="I68" t="n">
        <v>0</v>
      </c>
      <c r="J68" t="n">
        <v>1</v>
      </c>
      <c r="K68" t="n">
        <v>0</v>
      </c>
      <c r="L68" t="n">
        <v>0</v>
      </c>
      <c r="M68" t="n">
        <v>0</v>
      </c>
      <c r="N68" t="n">
        <v>0</v>
      </c>
      <c r="O68" t="n">
        <v>1</v>
      </c>
      <c r="P68" t="n">
        <v>0</v>
      </c>
      <c r="Q68" t="n">
        <v>1</v>
      </c>
      <c r="R68" s="2" t="inlineStr">
        <is>
          <t>Motaggsvamp</t>
        </is>
      </c>
      <c r="S68">
        <f>HYPERLINK("https://klasma.github.io/Logging_2034/artfynd/A 48452-2023 artfynd.xlsx", "A 48452-2023")</f>
        <v/>
      </c>
      <c r="T68">
        <f>HYPERLINK("https://klasma.github.io/Logging_2034/kartor/A 48452-2023 karta.png", "A 48452-2023")</f>
        <v/>
      </c>
      <c r="V68">
        <f>HYPERLINK("https://klasma.github.io/Logging_2034/klagomål/A 48452-2023 FSC-klagomål.docx", "A 48452-2023")</f>
        <v/>
      </c>
      <c r="W68">
        <f>HYPERLINK("https://klasma.github.io/Logging_2034/klagomålsmail/A 48452-2023 FSC-klagomål mail.docx", "A 48452-2023")</f>
        <v/>
      </c>
      <c r="X68">
        <f>HYPERLINK("https://klasma.github.io/Logging_2034/tillsyn/A 48452-2023 tillsynsbegäran.docx", "A 48452-2023")</f>
        <v/>
      </c>
      <c r="Y68">
        <f>HYPERLINK("https://klasma.github.io/Logging_2034/tillsynsmail/A 48452-2023 tillsynsbegäran mail.docx", "A 48452-2023")</f>
        <v/>
      </c>
    </row>
    <row r="69" ht="15" customHeight="1">
      <c r="A69" t="inlineStr">
        <is>
          <t>A 49515-2023</t>
        </is>
      </c>
      <c r="B69" s="1" t="n">
        <v>45211</v>
      </c>
      <c r="C69" s="1" t="n">
        <v>45729</v>
      </c>
      <c r="D69" t="inlineStr">
        <is>
          <t>DALARNAS LÄN</t>
        </is>
      </c>
      <c r="E69" t="inlineStr">
        <is>
          <t>ORSA</t>
        </is>
      </c>
      <c r="F69" t="inlineStr">
        <is>
          <t>Allmännings- och besparingsskogar</t>
        </is>
      </c>
      <c r="G69" t="n">
        <v>17.5</v>
      </c>
      <c r="H69" t="n">
        <v>0</v>
      </c>
      <c r="I69" t="n">
        <v>1</v>
      </c>
      <c r="J69" t="n">
        <v>0</v>
      </c>
      <c r="K69" t="n">
        <v>0</v>
      </c>
      <c r="L69" t="n">
        <v>0</v>
      </c>
      <c r="M69" t="n">
        <v>0</v>
      </c>
      <c r="N69" t="n">
        <v>0</v>
      </c>
      <c r="O69" t="n">
        <v>0</v>
      </c>
      <c r="P69" t="n">
        <v>0</v>
      </c>
      <c r="Q69" t="n">
        <v>1</v>
      </c>
      <c r="R69" s="2" t="inlineStr">
        <is>
          <t>Skarp dropptaggsvamp</t>
        </is>
      </c>
      <c r="S69">
        <f>HYPERLINK("https://klasma.github.io/Logging_2034/artfynd/A 49515-2023 artfynd.xlsx", "A 49515-2023")</f>
        <v/>
      </c>
      <c r="T69">
        <f>HYPERLINK("https://klasma.github.io/Logging_2034/kartor/A 49515-2023 karta.png", "A 49515-2023")</f>
        <v/>
      </c>
      <c r="V69">
        <f>HYPERLINK("https://klasma.github.io/Logging_2034/klagomål/A 49515-2023 FSC-klagomål.docx", "A 49515-2023")</f>
        <v/>
      </c>
      <c r="W69">
        <f>HYPERLINK("https://klasma.github.io/Logging_2034/klagomålsmail/A 49515-2023 FSC-klagomål mail.docx", "A 49515-2023")</f>
        <v/>
      </c>
      <c r="X69">
        <f>HYPERLINK("https://klasma.github.io/Logging_2034/tillsyn/A 49515-2023 tillsynsbegäran.docx", "A 49515-2023")</f>
        <v/>
      </c>
      <c r="Y69">
        <f>HYPERLINK("https://klasma.github.io/Logging_2034/tillsynsmail/A 49515-2023 tillsynsbegäran mail.docx", "A 49515-2023")</f>
        <v/>
      </c>
    </row>
    <row r="70" ht="15" customHeight="1">
      <c r="A70" t="inlineStr">
        <is>
          <t>A 30493-2024</t>
        </is>
      </c>
      <c r="B70" s="1" t="n">
        <v>45492</v>
      </c>
      <c r="C70" s="1" t="n">
        <v>45729</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26119-2019</t>
        </is>
      </c>
      <c r="B71" s="1" t="n">
        <v>43609</v>
      </c>
      <c r="C71" s="1" t="n">
        <v>45729</v>
      </c>
      <c r="D71" t="inlineStr">
        <is>
          <t>DALARNAS LÄN</t>
        </is>
      </c>
      <c r="E71" t="inlineStr">
        <is>
          <t>ORSA</t>
        </is>
      </c>
      <c r="F71" t="inlineStr">
        <is>
          <t>Allmännings- och besparingsskogar</t>
        </is>
      </c>
      <c r="G71" t="n">
        <v>4.7</v>
      </c>
      <c r="H71" t="n">
        <v>0</v>
      </c>
      <c r="I71" t="n">
        <v>0</v>
      </c>
      <c r="J71" t="n">
        <v>0</v>
      </c>
      <c r="K71" t="n">
        <v>0</v>
      </c>
      <c r="L71" t="n">
        <v>0</v>
      </c>
      <c r="M71" t="n">
        <v>0</v>
      </c>
      <c r="N71" t="n">
        <v>0</v>
      </c>
      <c r="O71" t="n">
        <v>0</v>
      </c>
      <c r="P71" t="n">
        <v>0</v>
      </c>
      <c r="Q71" t="n">
        <v>0</v>
      </c>
      <c r="R71" s="2" t="inlineStr"/>
    </row>
    <row r="72" ht="15" customHeight="1">
      <c r="A72" t="inlineStr">
        <is>
          <t>A 28464-2019</t>
        </is>
      </c>
      <c r="B72" s="1" t="n">
        <v>43626</v>
      </c>
      <c r="C72" s="1" t="n">
        <v>45729</v>
      </c>
      <c r="D72" t="inlineStr">
        <is>
          <t>DALARNAS LÄN</t>
        </is>
      </c>
      <c r="E72" t="inlineStr">
        <is>
          <t>ORSA</t>
        </is>
      </c>
      <c r="F72" t="inlineStr">
        <is>
          <t>Bergvik skog öst AB</t>
        </is>
      </c>
      <c r="G72" t="n">
        <v>0.8</v>
      </c>
      <c r="H72" t="n">
        <v>0</v>
      </c>
      <c r="I72" t="n">
        <v>0</v>
      </c>
      <c r="J72" t="n">
        <v>0</v>
      </c>
      <c r="K72" t="n">
        <v>0</v>
      </c>
      <c r="L72" t="n">
        <v>0</v>
      </c>
      <c r="M72" t="n">
        <v>0</v>
      </c>
      <c r="N72" t="n">
        <v>0</v>
      </c>
      <c r="O72" t="n">
        <v>0</v>
      </c>
      <c r="P72" t="n">
        <v>0</v>
      </c>
      <c r="Q72" t="n">
        <v>0</v>
      </c>
      <c r="R72" s="2" t="inlineStr"/>
    </row>
    <row r="73" ht="15" customHeight="1">
      <c r="A73" t="inlineStr">
        <is>
          <t>A 31099-2019</t>
        </is>
      </c>
      <c r="B73" s="1" t="n">
        <v>43640</v>
      </c>
      <c r="C73" s="1" t="n">
        <v>45729</v>
      </c>
      <c r="D73" t="inlineStr">
        <is>
          <t>DALARNAS LÄN</t>
        </is>
      </c>
      <c r="E73" t="inlineStr">
        <is>
          <t>ORSA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31956-2019</t>
        </is>
      </c>
      <c r="B74" s="1" t="n">
        <v>43643</v>
      </c>
      <c r="C74" s="1" t="n">
        <v>45729</v>
      </c>
      <c r="D74" t="inlineStr">
        <is>
          <t>DALARNAS LÄN</t>
        </is>
      </c>
      <c r="E74" t="inlineStr">
        <is>
          <t>ORSA</t>
        </is>
      </c>
      <c r="F74" t="inlineStr">
        <is>
          <t>Bergvik skog öst AB</t>
        </is>
      </c>
      <c r="G74" t="n">
        <v>1.3</v>
      </c>
      <c r="H74" t="n">
        <v>0</v>
      </c>
      <c r="I74" t="n">
        <v>0</v>
      </c>
      <c r="J74" t="n">
        <v>0</v>
      </c>
      <c r="K74" t="n">
        <v>0</v>
      </c>
      <c r="L74" t="n">
        <v>0</v>
      </c>
      <c r="M74" t="n">
        <v>0</v>
      </c>
      <c r="N74" t="n">
        <v>0</v>
      </c>
      <c r="O74" t="n">
        <v>0</v>
      </c>
      <c r="P74" t="n">
        <v>0</v>
      </c>
      <c r="Q74" t="n">
        <v>0</v>
      </c>
      <c r="R74" s="2" t="inlineStr"/>
    </row>
    <row r="75" ht="15" customHeight="1">
      <c r="A75" t="inlineStr">
        <is>
          <t>A 32933-2019</t>
        </is>
      </c>
      <c r="B75" s="1" t="n">
        <v>43648</v>
      </c>
      <c r="C75" s="1" t="n">
        <v>45729</v>
      </c>
      <c r="D75" t="inlineStr">
        <is>
          <t>DALARNAS LÄN</t>
        </is>
      </c>
      <c r="E75" t="inlineStr">
        <is>
          <t>ORSA</t>
        </is>
      </c>
      <c r="G75" t="n">
        <v>6.3</v>
      </c>
      <c r="H75" t="n">
        <v>0</v>
      </c>
      <c r="I75" t="n">
        <v>0</v>
      </c>
      <c r="J75" t="n">
        <v>0</v>
      </c>
      <c r="K75" t="n">
        <v>0</v>
      </c>
      <c r="L75" t="n">
        <v>0</v>
      </c>
      <c r="M75" t="n">
        <v>0</v>
      </c>
      <c r="N75" t="n">
        <v>0</v>
      </c>
      <c r="O75" t="n">
        <v>0</v>
      </c>
      <c r="P75" t="n">
        <v>0</v>
      </c>
      <c r="Q75" t="n">
        <v>0</v>
      </c>
      <c r="R75" s="2" t="inlineStr"/>
    </row>
    <row r="76" ht="15" customHeight="1">
      <c r="A76" t="inlineStr">
        <is>
          <t>A 34257-2019</t>
        </is>
      </c>
      <c r="B76" s="1" t="n">
        <v>43655</v>
      </c>
      <c r="C76" s="1" t="n">
        <v>45729</v>
      </c>
      <c r="D76" t="inlineStr">
        <is>
          <t>DALARNAS LÄN</t>
        </is>
      </c>
      <c r="E76" t="inlineStr">
        <is>
          <t>ORSA</t>
        </is>
      </c>
      <c r="G76" t="n">
        <v>2.9</v>
      </c>
      <c r="H76" t="n">
        <v>0</v>
      </c>
      <c r="I76" t="n">
        <v>0</v>
      </c>
      <c r="J76" t="n">
        <v>0</v>
      </c>
      <c r="K76" t="n">
        <v>0</v>
      </c>
      <c r="L76" t="n">
        <v>0</v>
      </c>
      <c r="M76" t="n">
        <v>0</v>
      </c>
      <c r="N76" t="n">
        <v>0</v>
      </c>
      <c r="O76" t="n">
        <v>0</v>
      </c>
      <c r="P76" t="n">
        <v>0</v>
      </c>
      <c r="Q76" t="n">
        <v>0</v>
      </c>
      <c r="R76" s="2" t="inlineStr"/>
    </row>
    <row r="77" ht="15" customHeight="1">
      <c r="A77" t="inlineStr">
        <is>
          <t>A 34521-2019</t>
        </is>
      </c>
      <c r="B77" s="1" t="n">
        <v>43657</v>
      </c>
      <c r="C77" s="1" t="n">
        <v>45729</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36274-2019</t>
        </is>
      </c>
      <c r="B78" s="1" t="n">
        <v>43661</v>
      </c>
      <c r="C78" s="1" t="n">
        <v>45729</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35663-2019</t>
        </is>
      </c>
      <c r="B79" s="1" t="n">
        <v>43664</v>
      </c>
      <c r="C79" s="1" t="n">
        <v>45729</v>
      </c>
      <c r="D79" t="inlineStr">
        <is>
          <t>DALARNAS LÄN</t>
        </is>
      </c>
      <c r="E79" t="inlineStr">
        <is>
          <t>ORSA</t>
        </is>
      </c>
      <c r="G79" t="n">
        <v>2.7</v>
      </c>
      <c r="H79" t="n">
        <v>0</v>
      </c>
      <c r="I79" t="n">
        <v>0</v>
      </c>
      <c r="J79" t="n">
        <v>0</v>
      </c>
      <c r="K79" t="n">
        <v>0</v>
      </c>
      <c r="L79" t="n">
        <v>0</v>
      </c>
      <c r="M79" t="n">
        <v>0</v>
      </c>
      <c r="N79" t="n">
        <v>0</v>
      </c>
      <c r="O79" t="n">
        <v>0</v>
      </c>
      <c r="P79" t="n">
        <v>0</v>
      </c>
      <c r="Q79" t="n">
        <v>0</v>
      </c>
      <c r="R79" s="2" t="inlineStr"/>
    </row>
    <row r="80" ht="15" customHeight="1">
      <c r="A80" t="inlineStr">
        <is>
          <t>A 36989-2019</t>
        </is>
      </c>
      <c r="B80" s="1" t="n">
        <v>43676</v>
      </c>
      <c r="C80" s="1" t="n">
        <v>45729</v>
      </c>
      <c r="D80" t="inlineStr">
        <is>
          <t>DALARNAS LÄN</t>
        </is>
      </c>
      <c r="E80" t="inlineStr">
        <is>
          <t>ORSA</t>
        </is>
      </c>
      <c r="G80" t="n">
        <v>0.5</v>
      </c>
      <c r="H80" t="n">
        <v>0</v>
      </c>
      <c r="I80" t="n">
        <v>0</v>
      </c>
      <c r="J80" t="n">
        <v>0</v>
      </c>
      <c r="K80" t="n">
        <v>0</v>
      </c>
      <c r="L80" t="n">
        <v>0</v>
      </c>
      <c r="M80" t="n">
        <v>0</v>
      </c>
      <c r="N80" t="n">
        <v>0</v>
      </c>
      <c r="O80" t="n">
        <v>0</v>
      </c>
      <c r="P80" t="n">
        <v>0</v>
      </c>
      <c r="Q80" t="n">
        <v>0</v>
      </c>
      <c r="R80" s="2" t="inlineStr"/>
    </row>
    <row r="81" ht="15" customHeight="1">
      <c r="A81" t="inlineStr">
        <is>
          <t>A 37001-2019</t>
        </is>
      </c>
      <c r="B81" s="1" t="n">
        <v>43676</v>
      </c>
      <c r="C81" s="1" t="n">
        <v>45729</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37809-2019</t>
        </is>
      </c>
      <c r="B82" s="1" t="n">
        <v>43682</v>
      </c>
      <c r="C82" s="1" t="n">
        <v>45729</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38858-2019</t>
        </is>
      </c>
      <c r="B83" s="1" t="n">
        <v>43689</v>
      </c>
      <c r="C83" s="1" t="n">
        <v>45729</v>
      </c>
      <c r="D83" t="inlineStr">
        <is>
          <t>DALARNAS LÄN</t>
        </is>
      </c>
      <c r="E83" t="inlineStr">
        <is>
          <t>ORSA</t>
        </is>
      </c>
      <c r="G83" t="n">
        <v>2.1</v>
      </c>
      <c r="H83" t="n">
        <v>0</v>
      </c>
      <c r="I83" t="n">
        <v>0</v>
      </c>
      <c r="J83" t="n">
        <v>0</v>
      </c>
      <c r="K83" t="n">
        <v>0</v>
      </c>
      <c r="L83" t="n">
        <v>0</v>
      </c>
      <c r="M83" t="n">
        <v>0</v>
      </c>
      <c r="N83" t="n">
        <v>0</v>
      </c>
      <c r="O83" t="n">
        <v>0</v>
      </c>
      <c r="P83" t="n">
        <v>0</v>
      </c>
      <c r="Q83" t="n">
        <v>0</v>
      </c>
      <c r="R83" s="2" t="inlineStr"/>
    </row>
    <row r="84" ht="15" customHeight="1">
      <c r="A84" t="inlineStr">
        <is>
          <t>A 38857-2019</t>
        </is>
      </c>
      <c r="B84" s="1" t="n">
        <v>43689</v>
      </c>
      <c r="C84" s="1" t="n">
        <v>45729</v>
      </c>
      <c r="D84" t="inlineStr">
        <is>
          <t>DALARNAS LÄN</t>
        </is>
      </c>
      <c r="E84" t="inlineStr">
        <is>
          <t>ORSA</t>
        </is>
      </c>
      <c r="G84" t="n">
        <v>1.7</v>
      </c>
      <c r="H84" t="n">
        <v>0</v>
      </c>
      <c r="I84" t="n">
        <v>0</v>
      </c>
      <c r="J84" t="n">
        <v>0</v>
      </c>
      <c r="K84" t="n">
        <v>0</v>
      </c>
      <c r="L84" t="n">
        <v>0</v>
      </c>
      <c r="M84" t="n">
        <v>0</v>
      </c>
      <c r="N84" t="n">
        <v>0</v>
      </c>
      <c r="O84" t="n">
        <v>0</v>
      </c>
      <c r="P84" t="n">
        <v>0</v>
      </c>
      <c r="Q84" t="n">
        <v>0</v>
      </c>
      <c r="R84" s="2" t="inlineStr"/>
    </row>
    <row r="85" ht="15" customHeight="1">
      <c r="A85" t="inlineStr">
        <is>
          <t>A 43403-2019</t>
        </is>
      </c>
      <c r="B85" s="1" t="n">
        <v>43706</v>
      </c>
      <c r="C85" s="1" t="n">
        <v>45729</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45996-2019</t>
        </is>
      </c>
      <c r="B86" s="1" t="n">
        <v>43713</v>
      </c>
      <c r="C86" s="1" t="n">
        <v>45729</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45612-2019</t>
        </is>
      </c>
      <c r="B87" s="1" t="n">
        <v>43717</v>
      </c>
      <c r="C87" s="1" t="n">
        <v>45729</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49953-2019</t>
        </is>
      </c>
      <c r="B88" s="1" t="n">
        <v>43733</v>
      </c>
      <c r="C88" s="1" t="n">
        <v>45729</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50528-2019</t>
        </is>
      </c>
      <c r="B89" s="1" t="n">
        <v>43735</v>
      </c>
      <c r="C89" s="1" t="n">
        <v>45729</v>
      </c>
      <c r="D89" t="inlineStr">
        <is>
          <t>DALARNAS LÄN</t>
        </is>
      </c>
      <c r="E89" t="inlineStr">
        <is>
          <t>ORSA</t>
        </is>
      </c>
      <c r="F89" t="inlineStr">
        <is>
          <t>Kyrkan</t>
        </is>
      </c>
      <c r="G89" t="n">
        <v>4.2</v>
      </c>
      <c r="H89" t="n">
        <v>0</v>
      </c>
      <c r="I89" t="n">
        <v>0</v>
      </c>
      <c r="J89" t="n">
        <v>0</v>
      </c>
      <c r="K89" t="n">
        <v>0</v>
      </c>
      <c r="L89" t="n">
        <v>0</v>
      </c>
      <c r="M89" t="n">
        <v>0</v>
      </c>
      <c r="N89" t="n">
        <v>0</v>
      </c>
      <c r="O89" t="n">
        <v>0</v>
      </c>
      <c r="P89" t="n">
        <v>0</v>
      </c>
      <c r="Q89" t="n">
        <v>0</v>
      </c>
      <c r="R89" s="2" t="inlineStr"/>
    </row>
    <row r="90" ht="15" customHeight="1">
      <c r="A90" t="inlineStr">
        <is>
          <t>A 50934-2019</t>
        </is>
      </c>
      <c r="B90" s="1" t="n">
        <v>43738</v>
      </c>
      <c r="C90" s="1" t="n">
        <v>45729</v>
      </c>
      <c r="D90" t="inlineStr">
        <is>
          <t>DALARNAS LÄN</t>
        </is>
      </c>
      <c r="E90" t="inlineStr">
        <is>
          <t>ORSA</t>
        </is>
      </c>
      <c r="F90" t="inlineStr">
        <is>
          <t>Allmännings- och besparingsskogar</t>
        </is>
      </c>
      <c r="G90" t="n">
        <v>11.4</v>
      </c>
      <c r="H90" t="n">
        <v>0</v>
      </c>
      <c r="I90" t="n">
        <v>0</v>
      </c>
      <c r="J90" t="n">
        <v>0</v>
      </c>
      <c r="K90" t="n">
        <v>0</v>
      </c>
      <c r="L90" t="n">
        <v>0</v>
      </c>
      <c r="M90" t="n">
        <v>0</v>
      </c>
      <c r="N90" t="n">
        <v>0</v>
      </c>
      <c r="O90" t="n">
        <v>0</v>
      </c>
      <c r="P90" t="n">
        <v>0</v>
      </c>
      <c r="Q90" t="n">
        <v>0</v>
      </c>
      <c r="R90" s="2" t="inlineStr"/>
    </row>
    <row r="91" ht="15" customHeight="1">
      <c r="A91" t="inlineStr">
        <is>
          <t>A 55522-2019</t>
        </is>
      </c>
      <c r="B91" s="1" t="n">
        <v>43759</v>
      </c>
      <c r="C91" s="1" t="n">
        <v>45729</v>
      </c>
      <c r="D91" t="inlineStr">
        <is>
          <t>DALARNAS LÄN</t>
        </is>
      </c>
      <c r="E91" t="inlineStr">
        <is>
          <t>ORSA</t>
        </is>
      </c>
      <c r="G91" t="n">
        <v>8.1</v>
      </c>
      <c r="H91" t="n">
        <v>0</v>
      </c>
      <c r="I91" t="n">
        <v>0</v>
      </c>
      <c r="J91" t="n">
        <v>0</v>
      </c>
      <c r="K91" t="n">
        <v>0</v>
      </c>
      <c r="L91" t="n">
        <v>0</v>
      </c>
      <c r="M91" t="n">
        <v>0</v>
      </c>
      <c r="N91" t="n">
        <v>0</v>
      </c>
      <c r="O91" t="n">
        <v>0</v>
      </c>
      <c r="P91" t="n">
        <v>0</v>
      </c>
      <c r="Q91" t="n">
        <v>0</v>
      </c>
      <c r="R91" s="2" t="inlineStr"/>
    </row>
    <row r="92" ht="15" customHeight="1">
      <c r="A92" t="inlineStr">
        <is>
          <t>A 56862-2019</t>
        </is>
      </c>
      <c r="B92" s="1" t="n">
        <v>43765</v>
      </c>
      <c r="C92" s="1" t="n">
        <v>45729</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59007-2019</t>
        </is>
      </c>
      <c r="B93" s="1" t="n">
        <v>43774</v>
      </c>
      <c r="C93" s="1" t="n">
        <v>45729</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64389-2019</t>
        </is>
      </c>
      <c r="B94" s="1" t="n">
        <v>43797</v>
      </c>
      <c r="C94" s="1" t="n">
        <v>45729</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65252-2019</t>
        </is>
      </c>
      <c r="B95" s="1" t="n">
        <v>43797</v>
      </c>
      <c r="C95" s="1" t="n">
        <v>45729</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67884-2019</t>
        </is>
      </c>
      <c r="B96" s="1" t="n">
        <v>43810</v>
      </c>
      <c r="C96" s="1" t="n">
        <v>45729</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66862-2019</t>
        </is>
      </c>
      <c r="B97" s="1" t="n">
        <v>43810</v>
      </c>
      <c r="C97" s="1" t="n">
        <v>45729</v>
      </c>
      <c r="D97" t="inlineStr">
        <is>
          <t>DALARNAS LÄN</t>
        </is>
      </c>
      <c r="E97" t="inlineStr">
        <is>
          <t>ORSA</t>
        </is>
      </c>
      <c r="G97" t="n">
        <v>2.4</v>
      </c>
      <c r="H97" t="n">
        <v>0</v>
      </c>
      <c r="I97" t="n">
        <v>0</v>
      </c>
      <c r="J97" t="n">
        <v>0</v>
      </c>
      <c r="K97" t="n">
        <v>0</v>
      </c>
      <c r="L97" t="n">
        <v>0</v>
      </c>
      <c r="M97" t="n">
        <v>0</v>
      </c>
      <c r="N97" t="n">
        <v>0</v>
      </c>
      <c r="O97" t="n">
        <v>0</v>
      </c>
      <c r="P97" t="n">
        <v>0</v>
      </c>
      <c r="Q97" t="n">
        <v>0</v>
      </c>
      <c r="R97" s="2" t="inlineStr"/>
    </row>
    <row r="98" ht="15" customHeight="1">
      <c r="A98" t="inlineStr">
        <is>
          <t>A 67295-2019</t>
        </is>
      </c>
      <c r="B98" s="1" t="n">
        <v>43811</v>
      </c>
      <c r="C98" s="1" t="n">
        <v>45729</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67878-2019</t>
        </is>
      </c>
      <c r="B99" s="1" t="n">
        <v>43816</v>
      </c>
      <c r="C99" s="1" t="n">
        <v>45729</v>
      </c>
      <c r="D99" t="inlineStr">
        <is>
          <t>DALARNAS LÄN</t>
        </is>
      </c>
      <c r="E99" t="inlineStr">
        <is>
          <t>ORSA</t>
        </is>
      </c>
      <c r="G99" t="n">
        <v>2.7</v>
      </c>
      <c r="H99" t="n">
        <v>0</v>
      </c>
      <c r="I99" t="n">
        <v>0</v>
      </c>
      <c r="J99" t="n">
        <v>0</v>
      </c>
      <c r="K99" t="n">
        <v>0</v>
      </c>
      <c r="L99" t="n">
        <v>0</v>
      </c>
      <c r="M99" t="n">
        <v>0</v>
      </c>
      <c r="N99" t="n">
        <v>0</v>
      </c>
      <c r="O99" t="n">
        <v>0</v>
      </c>
      <c r="P99" t="n">
        <v>0</v>
      </c>
      <c r="Q99" t="n">
        <v>0</v>
      </c>
      <c r="R99" s="2" t="inlineStr"/>
    </row>
    <row r="100" ht="15" customHeight="1">
      <c r="A100" t="inlineStr">
        <is>
          <t>A 68558-2019</t>
        </is>
      </c>
      <c r="B100" s="1" t="n">
        <v>43818</v>
      </c>
      <c r="C100" s="1" t="n">
        <v>45729</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68376-2019</t>
        </is>
      </c>
      <c r="B101" s="1" t="n">
        <v>43818</v>
      </c>
      <c r="C101" s="1" t="n">
        <v>45729</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1829-2020</t>
        </is>
      </c>
      <c r="B102" s="1" t="n">
        <v>43844</v>
      </c>
      <c r="C102" s="1" t="n">
        <v>45729</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3337-2020</t>
        </is>
      </c>
      <c r="B103" s="1" t="n">
        <v>43845</v>
      </c>
      <c r="C103" s="1" t="n">
        <v>45729</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2166-2020</t>
        </is>
      </c>
      <c r="B104" s="1" t="n">
        <v>43846</v>
      </c>
      <c r="C104" s="1" t="n">
        <v>45729</v>
      </c>
      <c r="D104" t="inlineStr">
        <is>
          <t>DALARNAS LÄN</t>
        </is>
      </c>
      <c r="E104" t="inlineStr">
        <is>
          <t>ORSA</t>
        </is>
      </c>
      <c r="G104" t="n">
        <v>11.2</v>
      </c>
      <c r="H104" t="n">
        <v>0</v>
      </c>
      <c r="I104" t="n">
        <v>0</v>
      </c>
      <c r="J104" t="n">
        <v>0</v>
      </c>
      <c r="K104" t="n">
        <v>0</v>
      </c>
      <c r="L104" t="n">
        <v>0</v>
      </c>
      <c r="M104" t="n">
        <v>0</v>
      </c>
      <c r="N104" t="n">
        <v>0</v>
      </c>
      <c r="O104" t="n">
        <v>0</v>
      </c>
      <c r="P104" t="n">
        <v>0</v>
      </c>
      <c r="Q104" t="n">
        <v>0</v>
      </c>
      <c r="R104" s="2" t="inlineStr"/>
    </row>
    <row r="105" ht="15" customHeight="1">
      <c r="A105" t="inlineStr">
        <is>
          <t>A 6597-2020</t>
        </is>
      </c>
      <c r="B105" s="1" t="n">
        <v>43865</v>
      </c>
      <c r="C105" s="1" t="n">
        <v>45729</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7249-2020</t>
        </is>
      </c>
      <c r="B106" s="1" t="n">
        <v>43871</v>
      </c>
      <c r="C106" s="1" t="n">
        <v>45729</v>
      </c>
      <c r="D106" t="inlineStr">
        <is>
          <t>DALARNAS LÄN</t>
        </is>
      </c>
      <c r="E106" t="inlineStr">
        <is>
          <t>ORSA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14947-2020</t>
        </is>
      </c>
      <c r="B107" s="1" t="n">
        <v>43906</v>
      </c>
      <c r="C107" s="1" t="n">
        <v>45729</v>
      </c>
      <c r="D107" t="inlineStr">
        <is>
          <t>DALARNAS LÄN</t>
        </is>
      </c>
      <c r="E107" t="inlineStr">
        <is>
          <t>ORSA</t>
        </is>
      </c>
      <c r="F107" t="inlineStr">
        <is>
          <t>Allmännings- och besparingsskogar</t>
        </is>
      </c>
      <c r="G107" t="n">
        <v>26.8</v>
      </c>
      <c r="H107" t="n">
        <v>0</v>
      </c>
      <c r="I107" t="n">
        <v>0</v>
      </c>
      <c r="J107" t="n">
        <v>0</v>
      </c>
      <c r="K107" t="n">
        <v>0</v>
      </c>
      <c r="L107" t="n">
        <v>0</v>
      </c>
      <c r="M107" t="n">
        <v>0</v>
      </c>
      <c r="N107" t="n">
        <v>0</v>
      </c>
      <c r="O107" t="n">
        <v>0</v>
      </c>
      <c r="P107" t="n">
        <v>0</v>
      </c>
      <c r="Q107" t="n">
        <v>0</v>
      </c>
      <c r="R107" s="2" t="inlineStr"/>
    </row>
    <row r="108" ht="15" customHeight="1">
      <c r="A108" t="inlineStr">
        <is>
          <t>A 14682-2020</t>
        </is>
      </c>
      <c r="B108" s="1" t="n">
        <v>43909</v>
      </c>
      <c r="C108" s="1" t="n">
        <v>45729</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17406-2020</t>
        </is>
      </c>
      <c r="B109" s="1" t="n">
        <v>43923</v>
      </c>
      <c r="C109" s="1" t="n">
        <v>45729</v>
      </c>
      <c r="D109" t="inlineStr">
        <is>
          <t>DALARNAS LÄN</t>
        </is>
      </c>
      <c r="E109" t="inlineStr">
        <is>
          <t>ORSA</t>
        </is>
      </c>
      <c r="F109" t="inlineStr">
        <is>
          <t>Allmännings- och besparingsskogar</t>
        </is>
      </c>
      <c r="G109" t="n">
        <v>89.8</v>
      </c>
      <c r="H109" t="n">
        <v>0</v>
      </c>
      <c r="I109" t="n">
        <v>0</v>
      </c>
      <c r="J109" t="n">
        <v>0</v>
      </c>
      <c r="K109" t="n">
        <v>0</v>
      </c>
      <c r="L109" t="n">
        <v>0</v>
      </c>
      <c r="M109" t="n">
        <v>0</v>
      </c>
      <c r="N109" t="n">
        <v>0</v>
      </c>
      <c r="O109" t="n">
        <v>0</v>
      </c>
      <c r="P109" t="n">
        <v>0</v>
      </c>
      <c r="Q109" t="n">
        <v>0</v>
      </c>
      <c r="R109" s="2" t="inlineStr"/>
    </row>
    <row r="110" ht="15" customHeight="1">
      <c r="A110" t="inlineStr">
        <is>
          <t>A 19208-2020</t>
        </is>
      </c>
      <c r="B110" s="1" t="n">
        <v>43937</v>
      </c>
      <c r="C110" s="1" t="n">
        <v>45729</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19404-2020</t>
        </is>
      </c>
      <c r="B111" s="1" t="n">
        <v>43938</v>
      </c>
      <c r="C111" s="1" t="n">
        <v>45729</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20590-2020</t>
        </is>
      </c>
      <c r="B112" s="1" t="n">
        <v>43948</v>
      </c>
      <c r="C112" s="1" t="n">
        <v>45729</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21057-2020</t>
        </is>
      </c>
      <c r="B113" s="1" t="n">
        <v>43951</v>
      </c>
      <c r="C113" s="1" t="n">
        <v>45729</v>
      </c>
      <c r="D113" t="inlineStr">
        <is>
          <t>DALARNAS LÄN</t>
        </is>
      </c>
      <c r="E113" t="inlineStr">
        <is>
          <t>ORSA</t>
        </is>
      </c>
      <c r="G113" t="n">
        <v>2.2</v>
      </c>
      <c r="H113" t="n">
        <v>0</v>
      </c>
      <c r="I113" t="n">
        <v>0</v>
      </c>
      <c r="J113" t="n">
        <v>0</v>
      </c>
      <c r="K113" t="n">
        <v>0</v>
      </c>
      <c r="L113" t="n">
        <v>0</v>
      </c>
      <c r="M113" t="n">
        <v>0</v>
      </c>
      <c r="N113" t="n">
        <v>0</v>
      </c>
      <c r="O113" t="n">
        <v>0</v>
      </c>
      <c r="P113" t="n">
        <v>0</v>
      </c>
      <c r="Q113" t="n">
        <v>0</v>
      </c>
      <c r="R113" s="2" t="inlineStr"/>
    </row>
    <row r="114" ht="15" customHeight="1">
      <c r="A114" t="inlineStr">
        <is>
          <t>A 22785-2020</t>
        </is>
      </c>
      <c r="B114" s="1" t="n">
        <v>43964</v>
      </c>
      <c r="C114" s="1" t="n">
        <v>45729</v>
      </c>
      <c r="D114" t="inlineStr">
        <is>
          <t>DALARNAS LÄN</t>
        </is>
      </c>
      <c r="E114" t="inlineStr">
        <is>
          <t>ORSA</t>
        </is>
      </c>
      <c r="F114" t="inlineStr">
        <is>
          <t>Bergvik skog öst AB</t>
        </is>
      </c>
      <c r="G114" t="n">
        <v>1</v>
      </c>
      <c r="H114" t="n">
        <v>0</v>
      </c>
      <c r="I114" t="n">
        <v>0</v>
      </c>
      <c r="J114" t="n">
        <v>0</v>
      </c>
      <c r="K114" t="n">
        <v>0</v>
      </c>
      <c r="L114" t="n">
        <v>0</v>
      </c>
      <c r="M114" t="n">
        <v>0</v>
      </c>
      <c r="N114" t="n">
        <v>0</v>
      </c>
      <c r="O114" t="n">
        <v>0</v>
      </c>
      <c r="P114" t="n">
        <v>0</v>
      </c>
      <c r="Q114" t="n">
        <v>0</v>
      </c>
      <c r="R114" s="2" t="inlineStr"/>
    </row>
    <row r="115" ht="15" customHeight="1">
      <c r="A115" t="inlineStr">
        <is>
          <t>A 23746-2020</t>
        </is>
      </c>
      <c r="B115" s="1" t="n">
        <v>43970</v>
      </c>
      <c r="C115" s="1" t="n">
        <v>45729</v>
      </c>
      <c r="D115" t="inlineStr">
        <is>
          <t>DALARNAS LÄN</t>
        </is>
      </c>
      <c r="E115" t="inlineStr">
        <is>
          <t>ORSA</t>
        </is>
      </c>
      <c r="F115" t="inlineStr">
        <is>
          <t>Allmännings- och besparingsskogar</t>
        </is>
      </c>
      <c r="G115" t="n">
        <v>13.9</v>
      </c>
      <c r="H115" t="n">
        <v>0</v>
      </c>
      <c r="I115" t="n">
        <v>0</v>
      </c>
      <c r="J115" t="n">
        <v>0</v>
      </c>
      <c r="K115" t="n">
        <v>0</v>
      </c>
      <c r="L115" t="n">
        <v>0</v>
      </c>
      <c r="M115" t="n">
        <v>0</v>
      </c>
      <c r="N115" t="n">
        <v>0</v>
      </c>
      <c r="O115" t="n">
        <v>0</v>
      </c>
      <c r="P115" t="n">
        <v>0</v>
      </c>
      <c r="Q115" t="n">
        <v>0</v>
      </c>
      <c r="R115" s="2" t="inlineStr"/>
    </row>
    <row r="116" ht="15" customHeight="1">
      <c r="A116" t="inlineStr">
        <is>
          <t>A 23766-2020</t>
        </is>
      </c>
      <c r="B116" s="1" t="n">
        <v>43970</v>
      </c>
      <c r="C116" s="1" t="n">
        <v>45729</v>
      </c>
      <c r="D116" t="inlineStr">
        <is>
          <t>DALARNAS LÄN</t>
        </is>
      </c>
      <c r="E116" t="inlineStr">
        <is>
          <t>ORSA</t>
        </is>
      </c>
      <c r="F116" t="inlineStr">
        <is>
          <t>Bergvik skog öst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25664-2020</t>
        </is>
      </c>
      <c r="B117" s="1" t="n">
        <v>43983</v>
      </c>
      <c r="C117" s="1" t="n">
        <v>45729</v>
      </c>
      <c r="D117" t="inlineStr">
        <is>
          <t>DALARNAS LÄN</t>
        </is>
      </c>
      <c r="E117" t="inlineStr">
        <is>
          <t>ORSA</t>
        </is>
      </c>
      <c r="G117" t="n">
        <v>5.3</v>
      </c>
      <c r="H117" t="n">
        <v>0</v>
      </c>
      <c r="I117" t="n">
        <v>0</v>
      </c>
      <c r="J117" t="n">
        <v>0</v>
      </c>
      <c r="K117" t="n">
        <v>0</v>
      </c>
      <c r="L117" t="n">
        <v>0</v>
      </c>
      <c r="M117" t="n">
        <v>0</v>
      </c>
      <c r="N117" t="n">
        <v>0</v>
      </c>
      <c r="O117" t="n">
        <v>0</v>
      </c>
      <c r="P117" t="n">
        <v>0</v>
      </c>
      <c r="Q117" t="n">
        <v>0</v>
      </c>
      <c r="R117" s="2" t="inlineStr"/>
    </row>
    <row r="118" ht="15" customHeight="1">
      <c r="A118" t="inlineStr">
        <is>
          <t>A 27436-2020</t>
        </is>
      </c>
      <c r="B118" s="1" t="n">
        <v>43993</v>
      </c>
      <c r="C118" s="1" t="n">
        <v>45729</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27945-2020</t>
        </is>
      </c>
      <c r="B119" s="1" t="n">
        <v>43997</v>
      </c>
      <c r="C119" s="1" t="n">
        <v>45729</v>
      </c>
      <c r="D119" t="inlineStr">
        <is>
          <t>DALARNAS LÄN</t>
        </is>
      </c>
      <c r="E119" t="inlineStr">
        <is>
          <t>ORSA</t>
        </is>
      </c>
      <c r="F119" t="inlineStr">
        <is>
          <t>Bergvik skog öst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30153-2020</t>
        </is>
      </c>
      <c r="B120" s="1" t="n">
        <v>44007</v>
      </c>
      <c r="C120" s="1" t="n">
        <v>45729</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30149-2020</t>
        </is>
      </c>
      <c r="B121" s="1" t="n">
        <v>44007</v>
      </c>
      <c r="C121" s="1" t="n">
        <v>45729</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30672-2020</t>
        </is>
      </c>
      <c r="B122" s="1" t="n">
        <v>44008</v>
      </c>
      <c r="C122" s="1" t="n">
        <v>45729</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32096-2020</t>
        </is>
      </c>
      <c r="B123" s="1" t="n">
        <v>44015</v>
      </c>
      <c r="C123" s="1" t="n">
        <v>45729</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32628-2020</t>
        </is>
      </c>
      <c r="B124" s="1" t="n">
        <v>44019</v>
      </c>
      <c r="C124" s="1" t="n">
        <v>45729</v>
      </c>
      <c r="D124" t="inlineStr">
        <is>
          <t>DALARNAS LÄN</t>
        </is>
      </c>
      <c r="E124" t="inlineStr">
        <is>
          <t>ORSA</t>
        </is>
      </c>
      <c r="F124" t="inlineStr">
        <is>
          <t>Bergvik skog öst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34544-2020</t>
        </is>
      </c>
      <c r="B125" s="1" t="n">
        <v>44032</v>
      </c>
      <c r="C125" s="1" t="n">
        <v>45729</v>
      </c>
      <c r="D125" t="inlineStr">
        <is>
          <t>DALARNAS LÄN</t>
        </is>
      </c>
      <c r="E125" t="inlineStr">
        <is>
          <t>ORSA</t>
        </is>
      </c>
      <c r="G125" t="n">
        <v>3.2</v>
      </c>
      <c r="H125" t="n">
        <v>0</v>
      </c>
      <c r="I125" t="n">
        <v>0</v>
      </c>
      <c r="J125" t="n">
        <v>0</v>
      </c>
      <c r="K125" t="n">
        <v>0</v>
      </c>
      <c r="L125" t="n">
        <v>0</v>
      </c>
      <c r="M125" t="n">
        <v>0</v>
      </c>
      <c r="N125" t="n">
        <v>0</v>
      </c>
      <c r="O125" t="n">
        <v>0</v>
      </c>
      <c r="P125" t="n">
        <v>0</v>
      </c>
      <c r="Q125" t="n">
        <v>0</v>
      </c>
      <c r="R125" s="2" t="inlineStr"/>
    </row>
    <row r="126" ht="15" customHeight="1">
      <c r="A126" t="inlineStr">
        <is>
          <t>A 34986-2020</t>
        </is>
      </c>
      <c r="B126" s="1" t="n">
        <v>44039</v>
      </c>
      <c r="C126" s="1" t="n">
        <v>45729</v>
      </c>
      <c r="D126" t="inlineStr">
        <is>
          <t>DALARNAS LÄN</t>
        </is>
      </c>
      <c r="E126" t="inlineStr">
        <is>
          <t>ORSA</t>
        </is>
      </c>
      <c r="F126" t="inlineStr">
        <is>
          <t>Bergvik skog öst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36822-2020</t>
        </is>
      </c>
      <c r="B127" s="1" t="n">
        <v>44053</v>
      </c>
      <c r="C127" s="1" t="n">
        <v>45729</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36919-2020</t>
        </is>
      </c>
      <c r="B128" s="1" t="n">
        <v>44053</v>
      </c>
      <c r="C128" s="1" t="n">
        <v>45729</v>
      </c>
      <c r="D128" t="inlineStr">
        <is>
          <t>DALARNAS LÄN</t>
        </is>
      </c>
      <c r="E128" t="inlineStr">
        <is>
          <t>ORSA</t>
        </is>
      </c>
      <c r="F128" t="inlineStr">
        <is>
          <t>Bergvik skog öst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39969-2020</t>
        </is>
      </c>
      <c r="B129" s="1" t="n">
        <v>44067</v>
      </c>
      <c r="C129" s="1" t="n">
        <v>45729</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41079-2020</t>
        </is>
      </c>
      <c r="B130" s="1" t="n">
        <v>44071</v>
      </c>
      <c r="C130" s="1" t="n">
        <v>45729</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48954-2020</t>
        </is>
      </c>
      <c r="B131" s="1" t="n">
        <v>44102</v>
      </c>
      <c r="C131" s="1" t="n">
        <v>45729</v>
      </c>
      <c r="D131" t="inlineStr">
        <is>
          <t>DALARNAS LÄN</t>
        </is>
      </c>
      <c r="E131" t="inlineStr">
        <is>
          <t>ORSA</t>
        </is>
      </c>
      <c r="G131" t="n">
        <v>2.7</v>
      </c>
      <c r="H131" t="n">
        <v>0</v>
      </c>
      <c r="I131" t="n">
        <v>0</v>
      </c>
      <c r="J131" t="n">
        <v>0</v>
      </c>
      <c r="K131" t="n">
        <v>0</v>
      </c>
      <c r="L131" t="n">
        <v>0</v>
      </c>
      <c r="M131" t="n">
        <v>0</v>
      </c>
      <c r="N131" t="n">
        <v>0</v>
      </c>
      <c r="O131" t="n">
        <v>0</v>
      </c>
      <c r="P131" t="n">
        <v>0</v>
      </c>
      <c r="Q131" t="n">
        <v>0</v>
      </c>
      <c r="R131" s="2" t="inlineStr"/>
    </row>
    <row r="132" ht="15" customHeight="1">
      <c r="A132" t="inlineStr">
        <is>
          <t>A 48956-2020</t>
        </is>
      </c>
      <c r="B132" s="1" t="n">
        <v>44102</v>
      </c>
      <c r="C132" s="1" t="n">
        <v>45729</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51094-2020</t>
        </is>
      </c>
      <c r="B133" s="1" t="n">
        <v>44112</v>
      </c>
      <c r="C133" s="1" t="n">
        <v>45729</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52495-2020</t>
        </is>
      </c>
      <c r="B134" s="1" t="n">
        <v>44116</v>
      </c>
      <c r="C134" s="1" t="n">
        <v>45729</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55447-2020</t>
        </is>
      </c>
      <c r="B135" s="1" t="n">
        <v>44131</v>
      </c>
      <c r="C135" s="1" t="n">
        <v>45729</v>
      </c>
      <c r="D135" t="inlineStr">
        <is>
          <t>DALARNAS LÄN</t>
        </is>
      </c>
      <c r="E135" t="inlineStr">
        <is>
          <t>ORSA</t>
        </is>
      </c>
      <c r="F135" t="inlineStr">
        <is>
          <t>Bergvik skog öst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57765-2020</t>
        </is>
      </c>
      <c r="B136" s="1" t="n">
        <v>44141</v>
      </c>
      <c r="C136" s="1" t="n">
        <v>45729</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58556-2020</t>
        </is>
      </c>
      <c r="B137" s="1" t="n">
        <v>44145</v>
      </c>
      <c r="C137" s="1" t="n">
        <v>45729</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61699-2020</t>
        </is>
      </c>
      <c r="B138" s="1" t="n">
        <v>44158</v>
      </c>
      <c r="C138" s="1" t="n">
        <v>45729</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62379-2020</t>
        </is>
      </c>
      <c r="B139" s="1" t="n">
        <v>44160</v>
      </c>
      <c r="C139" s="1" t="n">
        <v>45729</v>
      </c>
      <c r="D139" t="inlineStr">
        <is>
          <t>DALARNAS LÄN</t>
        </is>
      </c>
      <c r="E139" t="inlineStr">
        <is>
          <t>ORSA</t>
        </is>
      </c>
      <c r="F139" t="inlineStr">
        <is>
          <t>Bergvik skog öst AB</t>
        </is>
      </c>
      <c r="G139" t="n">
        <v>1.9</v>
      </c>
      <c r="H139" t="n">
        <v>0</v>
      </c>
      <c r="I139" t="n">
        <v>0</v>
      </c>
      <c r="J139" t="n">
        <v>0</v>
      </c>
      <c r="K139" t="n">
        <v>0</v>
      </c>
      <c r="L139" t="n">
        <v>0</v>
      </c>
      <c r="M139" t="n">
        <v>0</v>
      </c>
      <c r="N139" t="n">
        <v>0</v>
      </c>
      <c r="O139" t="n">
        <v>0</v>
      </c>
      <c r="P139" t="n">
        <v>0</v>
      </c>
      <c r="Q139" t="n">
        <v>0</v>
      </c>
      <c r="R139" s="2" t="inlineStr"/>
    </row>
    <row r="140" ht="15" customHeight="1">
      <c r="A140" t="inlineStr">
        <is>
          <t>A 63367-2020</t>
        </is>
      </c>
      <c r="B140" s="1" t="n">
        <v>44160</v>
      </c>
      <c r="C140" s="1" t="n">
        <v>45729</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63374-2020</t>
        </is>
      </c>
      <c r="B141" s="1" t="n">
        <v>44160</v>
      </c>
      <c r="C141" s="1" t="n">
        <v>45729</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63543-2020</t>
        </is>
      </c>
      <c r="B142" s="1" t="n">
        <v>44165</v>
      </c>
      <c r="C142" s="1" t="n">
        <v>45729</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66323-2020</t>
        </is>
      </c>
      <c r="B143" s="1" t="n">
        <v>44176</v>
      </c>
      <c r="C143" s="1" t="n">
        <v>45729</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66536-2020</t>
        </is>
      </c>
      <c r="B144" s="1" t="n">
        <v>44179</v>
      </c>
      <c r="C144" s="1" t="n">
        <v>45729</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66567-2020</t>
        </is>
      </c>
      <c r="B145" s="1" t="n">
        <v>44179</v>
      </c>
      <c r="C145" s="1" t="n">
        <v>45729</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66533-2020</t>
        </is>
      </c>
      <c r="B146" s="1" t="n">
        <v>44179</v>
      </c>
      <c r="C146" s="1" t="n">
        <v>45729</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66593-2020</t>
        </is>
      </c>
      <c r="B147" s="1" t="n">
        <v>44179</v>
      </c>
      <c r="C147" s="1" t="n">
        <v>45729</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67189-2020</t>
        </is>
      </c>
      <c r="B148" s="1" t="n">
        <v>44180</v>
      </c>
      <c r="C148" s="1" t="n">
        <v>45729</v>
      </c>
      <c r="D148" t="inlineStr">
        <is>
          <t>DALARNAS LÄN</t>
        </is>
      </c>
      <c r="E148" t="inlineStr">
        <is>
          <t>ORSA</t>
        </is>
      </c>
      <c r="F148" t="inlineStr">
        <is>
          <t>Allmännings- och besparingsskogar</t>
        </is>
      </c>
      <c r="G148" t="n">
        <v>5</v>
      </c>
      <c r="H148" t="n">
        <v>0</v>
      </c>
      <c r="I148" t="n">
        <v>0</v>
      </c>
      <c r="J148" t="n">
        <v>0</v>
      </c>
      <c r="K148" t="n">
        <v>0</v>
      </c>
      <c r="L148" t="n">
        <v>0</v>
      </c>
      <c r="M148" t="n">
        <v>0</v>
      </c>
      <c r="N148" t="n">
        <v>0</v>
      </c>
      <c r="O148" t="n">
        <v>0</v>
      </c>
      <c r="P148" t="n">
        <v>0</v>
      </c>
      <c r="Q148" t="n">
        <v>0</v>
      </c>
      <c r="R148" s="2" t="inlineStr"/>
    </row>
    <row r="149" ht="15" customHeight="1">
      <c r="A149" t="inlineStr">
        <is>
          <t>A 67755-2020</t>
        </is>
      </c>
      <c r="B149" s="1" t="n">
        <v>44182</v>
      </c>
      <c r="C149" s="1" t="n">
        <v>45729</v>
      </c>
      <c r="D149" t="inlineStr">
        <is>
          <t>DALARNAS LÄN</t>
        </is>
      </c>
      <c r="E149" t="inlineStr">
        <is>
          <t>ORSA</t>
        </is>
      </c>
      <c r="G149" t="n">
        <v>7.5</v>
      </c>
      <c r="H149" t="n">
        <v>0</v>
      </c>
      <c r="I149" t="n">
        <v>0</v>
      </c>
      <c r="J149" t="n">
        <v>0</v>
      </c>
      <c r="K149" t="n">
        <v>0</v>
      </c>
      <c r="L149" t="n">
        <v>0</v>
      </c>
      <c r="M149" t="n">
        <v>0</v>
      </c>
      <c r="N149" t="n">
        <v>0</v>
      </c>
      <c r="O149" t="n">
        <v>0</v>
      </c>
      <c r="P149" t="n">
        <v>0</v>
      </c>
      <c r="Q149" t="n">
        <v>0</v>
      </c>
      <c r="R149" s="2" t="inlineStr"/>
    </row>
    <row r="150" ht="15" customHeight="1">
      <c r="A150" t="inlineStr">
        <is>
          <t>A 67834-2020</t>
        </is>
      </c>
      <c r="B150" s="1" t="n">
        <v>44182</v>
      </c>
      <c r="C150" s="1" t="n">
        <v>45729</v>
      </c>
      <c r="D150" t="inlineStr">
        <is>
          <t>DALARNAS LÄN</t>
        </is>
      </c>
      <c r="E150" t="inlineStr">
        <is>
          <t>ORSA</t>
        </is>
      </c>
      <c r="G150" t="n">
        <v>4</v>
      </c>
      <c r="H150" t="n">
        <v>0</v>
      </c>
      <c r="I150" t="n">
        <v>0</v>
      </c>
      <c r="J150" t="n">
        <v>0</v>
      </c>
      <c r="K150" t="n">
        <v>0</v>
      </c>
      <c r="L150" t="n">
        <v>0</v>
      </c>
      <c r="M150" t="n">
        <v>0</v>
      </c>
      <c r="N150" t="n">
        <v>0</v>
      </c>
      <c r="O150" t="n">
        <v>0</v>
      </c>
      <c r="P150" t="n">
        <v>0</v>
      </c>
      <c r="Q150" t="n">
        <v>0</v>
      </c>
      <c r="R150" s="2" t="inlineStr"/>
    </row>
    <row r="151" ht="15" customHeight="1">
      <c r="A151" t="inlineStr">
        <is>
          <t>A 67842-2020</t>
        </is>
      </c>
      <c r="B151" s="1" t="n">
        <v>44182</v>
      </c>
      <c r="C151" s="1" t="n">
        <v>45729</v>
      </c>
      <c r="D151" t="inlineStr">
        <is>
          <t>DALARNAS LÄN</t>
        </is>
      </c>
      <c r="E151" t="inlineStr">
        <is>
          <t>ORSA</t>
        </is>
      </c>
      <c r="G151" t="n">
        <v>10.6</v>
      </c>
      <c r="H151" t="n">
        <v>0</v>
      </c>
      <c r="I151" t="n">
        <v>0</v>
      </c>
      <c r="J151" t="n">
        <v>0</v>
      </c>
      <c r="K151" t="n">
        <v>0</v>
      </c>
      <c r="L151" t="n">
        <v>0</v>
      </c>
      <c r="M151" t="n">
        <v>0</v>
      </c>
      <c r="N151" t="n">
        <v>0</v>
      </c>
      <c r="O151" t="n">
        <v>0</v>
      </c>
      <c r="P151" t="n">
        <v>0</v>
      </c>
      <c r="Q151" t="n">
        <v>0</v>
      </c>
      <c r="R151" s="2" t="inlineStr"/>
    </row>
    <row r="152" ht="15" customHeight="1">
      <c r="A152" t="inlineStr">
        <is>
          <t>A 67950-2020</t>
        </is>
      </c>
      <c r="B152" s="1" t="n">
        <v>44182</v>
      </c>
      <c r="C152" s="1" t="n">
        <v>45729</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67971-2020</t>
        </is>
      </c>
      <c r="B153" s="1" t="n">
        <v>44182</v>
      </c>
      <c r="C153" s="1" t="n">
        <v>45729</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67911-2020</t>
        </is>
      </c>
      <c r="B154" s="1" t="n">
        <v>44182</v>
      </c>
      <c r="C154" s="1" t="n">
        <v>45729</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67929-2020</t>
        </is>
      </c>
      <c r="B155" s="1" t="n">
        <v>44182</v>
      </c>
      <c r="C155" s="1" t="n">
        <v>45729</v>
      </c>
      <c r="D155" t="inlineStr">
        <is>
          <t>DALARNAS LÄN</t>
        </is>
      </c>
      <c r="E155" t="inlineStr">
        <is>
          <t>ORSA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67935-2020</t>
        </is>
      </c>
      <c r="B156" s="1" t="n">
        <v>44182</v>
      </c>
      <c r="C156" s="1" t="n">
        <v>45729</v>
      </c>
      <c r="D156" t="inlineStr">
        <is>
          <t>DALARNAS LÄN</t>
        </is>
      </c>
      <c r="E156" t="inlineStr">
        <is>
          <t>ORSA</t>
        </is>
      </c>
      <c r="G156" t="n">
        <v>5</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45729</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2112-2021</t>
        </is>
      </c>
      <c r="B158" s="1" t="n">
        <v>44211</v>
      </c>
      <c r="C158" s="1" t="n">
        <v>45729</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3452-2021</t>
        </is>
      </c>
      <c r="B159" s="1" t="n">
        <v>44218</v>
      </c>
      <c r="C159" s="1" t="n">
        <v>45729</v>
      </c>
      <c r="D159" t="inlineStr">
        <is>
          <t>DALARNAS LÄN</t>
        </is>
      </c>
      <c r="E159" t="inlineStr">
        <is>
          <t>ORSA</t>
        </is>
      </c>
      <c r="G159" t="n">
        <v>12.5</v>
      </c>
      <c r="H159" t="n">
        <v>0</v>
      </c>
      <c r="I159" t="n">
        <v>0</v>
      </c>
      <c r="J159" t="n">
        <v>0</v>
      </c>
      <c r="K159" t="n">
        <v>0</v>
      </c>
      <c r="L159" t="n">
        <v>0</v>
      </c>
      <c r="M159" t="n">
        <v>0</v>
      </c>
      <c r="N159" t="n">
        <v>0</v>
      </c>
      <c r="O159" t="n">
        <v>0</v>
      </c>
      <c r="P159" t="n">
        <v>0</v>
      </c>
      <c r="Q159" t="n">
        <v>0</v>
      </c>
      <c r="R159" s="2" t="inlineStr"/>
    </row>
    <row r="160" ht="15" customHeight="1">
      <c r="A160" t="inlineStr">
        <is>
          <t>A 4108-2021</t>
        </is>
      </c>
      <c r="B160" s="1" t="n">
        <v>44222</v>
      </c>
      <c r="C160" s="1" t="n">
        <v>45729</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4454-2021</t>
        </is>
      </c>
      <c r="B161" s="1" t="n">
        <v>44224</v>
      </c>
      <c r="C161" s="1" t="n">
        <v>45729</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9306-2021</t>
        </is>
      </c>
      <c r="B162" s="1" t="n">
        <v>44250</v>
      </c>
      <c r="C162" s="1" t="n">
        <v>45729</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12622-2021</t>
        </is>
      </c>
      <c r="B163" s="1" t="n">
        <v>44270</v>
      </c>
      <c r="C163" s="1" t="n">
        <v>45729</v>
      </c>
      <c r="D163" t="inlineStr">
        <is>
          <t>DALARNAS LÄN</t>
        </is>
      </c>
      <c r="E163" t="inlineStr">
        <is>
          <t>ORSA</t>
        </is>
      </c>
      <c r="G163" t="n">
        <v>5.1</v>
      </c>
      <c r="H163" t="n">
        <v>0</v>
      </c>
      <c r="I163" t="n">
        <v>0</v>
      </c>
      <c r="J163" t="n">
        <v>0</v>
      </c>
      <c r="K163" t="n">
        <v>0</v>
      </c>
      <c r="L163" t="n">
        <v>0</v>
      </c>
      <c r="M163" t="n">
        <v>0</v>
      </c>
      <c r="N163" t="n">
        <v>0</v>
      </c>
      <c r="O163" t="n">
        <v>0</v>
      </c>
      <c r="P163" t="n">
        <v>0</v>
      </c>
      <c r="Q163" t="n">
        <v>0</v>
      </c>
      <c r="R163" s="2" t="inlineStr"/>
    </row>
    <row r="164" ht="15" customHeight="1">
      <c r="A164" t="inlineStr">
        <is>
          <t>A 15914-2021</t>
        </is>
      </c>
      <c r="B164" s="1" t="n">
        <v>44287</v>
      </c>
      <c r="C164" s="1" t="n">
        <v>45729</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16270-2021</t>
        </is>
      </c>
      <c r="B165" s="1" t="n">
        <v>44292</v>
      </c>
      <c r="C165" s="1" t="n">
        <v>45729</v>
      </c>
      <c r="D165" t="inlineStr">
        <is>
          <t>DALARNAS LÄN</t>
        </is>
      </c>
      <c r="E165" t="inlineStr">
        <is>
          <t>ORSA</t>
        </is>
      </c>
      <c r="G165" t="n">
        <v>8.4</v>
      </c>
      <c r="H165" t="n">
        <v>0</v>
      </c>
      <c r="I165" t="n">
        <v>0</v>
      </c>
      <c r="J165" t="n">
        <v>0</v>
      </c>
      <c r="K165" t="n">
        <v>0</v>
      </c>
      <c r="L165" t="n">
        <v>0</v>
      </c>
      <c r="M165" t="n">
        <v>0</v>
      </c>
      <c r="N165" t="n">
        <v>0</v>
      </c>
      <c r="O165" t="n">
        <v>0</v>
      </c>
      <c r="P165" t="n">
        <v>0</v>
      </c>
      <c r="Q165" t="n">
        <v>0</v>
      </c>
      <c r="R165" s="2" t="inlineStr"/>
    </row>
    <row r="166" ht="15" customHeight="1">
      <c r="A166" t="inlineStr">
        <is>
          <t>A 17718-2021</t>
        </is>
      </c>
      <c r="B166" s="1" t="n">
        <v>44300</v>
      </c>
      <c r="C166" s="1" t="n">
        <v>45729</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18708-2021</t>
        </is>
      </c>
      <c r="B167" s="1" t="n">
        <v>44307</v>
      </c>
      <c r="C167" s="1" t="n">
        <v>45729</v>
      </c>
      <c r="D167" t="inlineStr">
        <is>
          <t>DALARNAS LÄN</t>
        </is>
      </c>
      <c r="E167" t="inlineStr">
        <is>
          <t>ORSA</t>
        </is>
      </c>
      <c r="G167" t="n">
        <v>2.8</v>
      </c>
      <c r="H167" t="n">
        <v>0</v>
      </c>
      <c r="I167" t="n">
        <v>0</v>
      </c>
      <c r="J167" t="n">
        <v>0</v>
      </c>
      <c r="K167" t="n">
        <v>0</v>
      </c>
      <c r="L167" t="n">
        <v>0</v>
      </c>
      <c r="M167" t="n">
        <v>0</v>
      </c>
      <c r="N167" t="n">
        <v>0</v>
      </c>
      <c r="O167" t="n">
        <v>0</v>
      </c>
      <c r="P167" t="n">
        <v>0</v>
      </c>
      <c r="Q167" t="n">
        <v>0</v>
      </c>
      <c r="R167" s="2" t="inlineStr"/>
    </row>
    <row r="168" ht="15" customHeight="1">
      <c r="A168" t="inlineStr">
        <is>
          <t>A 19024-2021</t>
        </is>
      </c>
      <c r="B168" s="1" t="n">
        <v>44308</v>
      </c>
      <c r="C168" s="1" t="n">
        <v>45729</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19932-2021</t>
        </is>
      </c>
      <c r="B169" s="1" t="n">
        <v>44313</v>
      </c>
      <c r="C169" s="1" t="n">
        <v>45729</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20349-2021</t>
        </is>
      </c>
      <c r="B170" s="1" t="n">
        <v>44315</v>
      </c>
      <c r="C170" s="1" t="n">
        <v>45729</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21678-2021</t>
        </is>
      </c>
      <c r="B171" s="1" t="n">
        <v>44322</v>
      </c>
      <c r="C171" s="1" t="n">
        <v>45729</v>
      </c>
      <c r="D171" t="inlineStr">
        <is>
          <t>DALARNAS LÄN</t>
        </is>
      </c>
      <c r="E171" t="inlineStr">
        <is>
          <t>ORSA</t>
        </is>
      </c>
      <c r="G171" t="n">
        <v>11.4</v>
      </c>
      <c r="H171" t="n">
        <v>0</v>
      </c>
      <c r="I171" t="n">
        <v>0</v>
      </c>
      <c r="J171" t="n">
        <v>0</v>
      </c>
      <c r="K171" t="n">
        <v>0</v>
      </c>
      <c r="L171" t="n">
        <v>0</v>
      </c>
      <c r="M171" t="n">
        <v>0</v>
      </c>
      <c r="N171" t="n">
        <v>0</v>
      </c>
      <c r="O171" t="n">
        <v>0</v>
      </c>
      <c r="P171" t="n">
        <v>0</v>
      </c>
      <c r="Q171" t="n">
        <v>0</v>
      </c>
      <c r="R171" s="2" t="inlineStr"/>
    </row>
    <row r="172" ht="15" customHeight="1">
      <c r="A172" t="inlineStr">
        <is>
          <t>A 23685-2021</t>
        </is>
      </c>
      <c r="B172" s="1" t="n">
        <v>44334</v>
      </c>
      <c r="C172" s="1" t="n">
        <v>45729</v>
      </c>
      <c r="D172" t="inlineStr">
        <is>
          <t>DALARNAS LÄN</t>
        </is>
      </c>
      <c r="E172" t="inlineStr">
        <is>
          <t>ORSA</t>
        </is>
      </c>
      <c r="F172" t="inlineStr">
        <is>
          <t>Allmännings- och besparingsskogar</t>
        </is>
      </c>
      <c r="G172" t="n">
        <v>20.3</v>
      </c>
      <c r="H172" t="n">
        <v>0</v>
      </c>
      <c r="I172" t="n">
        <v>0</v>
      </c>
      <c r="J172" t="n">
        <v>0</v>
      </c>
      <c r="K172" t="n">
        <v>0</v>
      </c>
      <c r="L172" t="n">
        <v>0</v>
      </c>
      <c r="M172" t="n">
        <v>0</v>
      </c>
      <c r="N172" t="n">
        <v>0</v>
      </c>
      <c r="O172" t="n">
        <v>0</v>
      </c>
      <c r="P172" t="n">
        <v>0</v>
      </c>
      <c r="Q172" t="n">
        <v>0</v>
      </c>
      <c r="R172" s="2" t="inlineStr"/>
    </row>
    <row r="173" ht="15" customHeight="1">
      <c r="A173" t="inlineStr">
        <is>
          <t>A 24083-2021</t>
        </is>
      </c>
      <c r="B173" s="1" t="n">
        <v>44336</v>
      </c>
      <c r="C173" s="1" t="n">
        <v>45729</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25761-2021</t>
        </is>
      </c>
      <c r="B174" s="1" t="n">
        <v>44343</v>
      </c>
      <c r="C174" s="1" t="n">
        <v>45729</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26831-2021</t>
        </is>
      </c>
      <c r="B175" s="1" t="n">
        <v>44349</v>
      </c>
      <c r="C175" s="1" t="n">
        <v>45729</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27146-2021</t>
        </is>
      </c>
      <c r="B176" s="1" t="n">
        <v>44350</v>
      </c>
      <c r="C176" s="1" t="n">
        <v>45729</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45729</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27877-2021</t>
        </is>
      </c>
      <c r="B178" s="1" t="n">
        <v>44354</v>
      </c>
      <c r="C178" s="1" t="n">
        <v>45729</v>
      </c>
      <c r="D178" t="inlineStr">
        <is>
          <t>DALARNAS LÄN</t>
        </is>
      </c>
      <c r="E178" t="inlineStr">
        <is>
          <t>ORSA</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28210-2021</t>
        </is>
      </c>
      <c r="B179" s="1" t="n">
        <v>44355</v>
      </c>
      <c r="C179" s="1" t="n">
        <v>45729</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28259-2021</t>
        </is>
      </c>
      <c r="B180" s="1" t="n">
        <v>44355</v>
      </c>
      <c r="C180" s="1" t="n">
        <v>45729</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28630-2021</t>
        </is>
      </c>
      <c r="B181" s="1" t="n">
        <v>44356</v>
      </c>
      <c r="C181" s="1" t="n">
        <v>45729</v>
      </c>
      <c r="D181" t="inlineStr">
        <is>
          <t>DALARNAS LÄN</t>
        </is>
      </c>
      <c r="E181" t="inlineStr">
        <is>
          <t>ORSA</t>
        </is>
      </c>
      <c r="G181" t="n">
        <v>3.5</v>
      </c>
      <c r="H181" t="n">
        <v>0</v>
      </c>
      <c r="I181" t="n">
        <v>0</v>
      </c>
      <c r="J181" t="n">
        <v>0</v>
      </c>
      <c r="K181" t="n">
        <v>0</v>
      </c>
      <c r="L181" t="n">
        <v>0</v>
      </c>
      <c r="M181" t="n">
        <v>0</v>
      </c>
      <c r="N181" t="n">
        <v>0</v>
      </c>
      <c r="O181" t="n">
        <v>0</v>
      </c>
      <c r="P181" t="n">
        <v>0</v>
      </c>
      <c r="Q181" t="n">
        <v>0</v>
      </c>
      <c r="R181" s="2" t="inlineStr"/>
    </row>
    <row r="182" ht="15" customHeight="1">
      <c r="A182" t="inlineStr">
        <is>
          <t>A 29366-2021</t>
        </is>
      </c>
      <c r="B182" s="1" t="n">
        <v>44361</v>
      </c>
      <c r="C182" s="1" t="n">
        <v>45729</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29555-2021</t>
        </is>
      </c>
      <c r="B183" s="1" t="n">
        <v>44361</v>
      </c>
      <c r="C183" s="1" t="n">
        <v>45729</v>
      </c>
      <c r="D183" t="inlineStr">
        <is>
          <t>DALARNAS LÄN</t>
        </is>
      </c>
      <c r="E183" t="inlineStr">
        <is>
          <t>ORSA</t>
        </is>
      </c>
      <c r="G183" t="n">
        <v>0.6</v>
      </c>
      <c r="H183" t="n">
        <v>0</v>
      </c>
      <c r="I183" t="n">
        <v>0</v>
      </c>
      <c r="J183" t="n">
        <v>0</v>
      </c>
      <c r="K183" t="n">
        <v>0</v>
      </c>
      <c r="L183" t="n">
        <v>0</v>
      </c>
      <c r="M183" t="n">
        <v>0</v>
      </c>
      <c r="N183" t="n">
        <v>0</v>
      </c>
      <c r="O183" t="n">
        <v>0</v>
      </c>
      <c r="P183" t="n">
        <v>0</v>
      </c>
      <c r="Q183" t="n">
        <v>0</v>
      </c>
      <c r="R183" s="2" t="inlineStr"/>
    </row>
    <row r="184" ht="15" customHeight="1">
      <c r="A184" t="inlineStr">
        <is>
          <t>A 29874-2021</t>
        </is>
      </c>
      <c r="B184" s="1" t="n">
        <v>44362</v>
      </c>
      <c r="C184" s="1" t="n">
        <v>45729</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30125-2021</t>
        </is>
      </c>
      <c r="B185" s="1" t="n">
        <v>44363</v>
      </c>
      <c r="C185" s="1" t="n">
        <v>45729</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31647-2021</t>
        </is>
      </c>
      <c r="B186" s="1" t="n">
        <v>44369</v>
      </c>
      <c r="C186" s="1" t="n">
        <v>45729</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33265-2021</t>
        </is>
      </c>
      <c r="B187" s="1" t="n">
        <v>44377</v>
      </c>
      <c r="C187" s="1" t="n">
        <v>45729</v>
      </c>
      <c r="D187" t="inlineStr">
        <is>
          <t>DALARNAS LÄN</t>
        </is>
      </c>
      <c r="E187" t="inlineStr">
        <is>
          <t>ORSA</t>
        </is>
      </c>
      <c r="G187" t="n">
        <v>1.9</v>
      </c>
      <c r="H187" t="n">
        <v>0</v>
      </c>
      <c r="I187" t="n">
        <v>0</v>
      </c>
      <c r="J187" t="n">
        <v>0</v>
      </c>
      <c r="K187" t="n">
        <v>0</v>
      </c>
      <c r="L187" t="n">
        <v>0</v>
      </c>
      <c r="M187" t="n">
        <v>0</v>
      </c>
      <c r="N187" t="n">
        <v>0</v>
      </c>
      <c r="O187" t="n">
        <v>0</v>
      </c>
      <c r="P187" t="n">
        <v>0</v>
      </c>
      <c r="Q187" t="n">
        <v>0</v>
      </c>
      <c r="R187" s="2" t="inlineStr"/>
    </row>
    <row r="188" ht="15" customHeight="1">
      <c r="A188" t="inlineStr">
        <is>
          <t>A 33480-2021</t>
        </is>
      </c>
      <c r="B188" s="1" t="n">
        <v>44377</v>
      </c>
      <c r="C188" s="1" t="n">
        <v>45729</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34713-2021</t>
        </is>
      </c>
      <c r="B189" s="1" t="n">
        <v>44382</v>
      </c>
      <c r="C189" s="1" t="n">
        <v>45729</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34708-2021</t>
        </is>
      </c>
      <c r="B190" s="1" t="n">
        <v>44382</v>
      </c>
      <c r="C190" s="1" t="n">
        <v>45729</v>
      </c>
      <c r="D190" t="inlineStr">
        <is>
          <t>DALARNAS LÄN</t>
        </is>
      </c>
      <c r="E190" t="inlineStr">
        <is>
          <t>ORSA</t>
        </is>
      </c>
      <c r="G190" t="n">
        <v>4.3</v>
      </c>
      <c r="H190" t="n">
        <v>0</v>
      </c>
      <c r="I190" t="n">
        <v>0</v>
      </c>
      <c r="J190" t="n">
        <v>0</v>
      </c>
      <c r="K190" t="n">
        <v>0</v>
      </c>
      <c r="L190" t="n">
        <v>0</v>
      </c>
      <c r="M190" t="n">
        <v>0</v>
      </c>
      <c r="N190" t="n">
        <v>0</v>
      </c>
      <c r="O190" t="n">
        <v>0</v>
      </c>
      <c r="P190" t="n">
        <v>0</v>
      </c>
      <c r="Q190" t="n">
        <v>0</v>
      </c>
      <c r="R190" s="2" t="inlineStr"/>
    </row>
    <row r="191" ht="15" customHeight="1">
      <c r="A191" t="inlineStr">
        <is>
          <t>A 36559-2021</t>
        </is>
      </c>
      <c r="B191" s="1" t="n">
        <v>44391</v>
      </c>
      <c r="C191" s="1" t="n">
        <v>45729</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45729</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36613-2021</t>
        </is>
      </c>
      <c r="B193" s="1" t="n">
        <v>44391</v>
      </c>
      <c r="C193" s="1" t="n">
        <v>45729</v>
      </c>
      <c r="D193" t="inlineStr">
        <is>
          <t>DALARNAS LÄN</t>
        </is>
      </c>
      <c r="E193" t="inlineStr">
        <is>
          <t>ORSA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39920-2021</t>
        </is>
      </c>
      <c r="B194" s="1" t="n">
        <v>44417</v>
      </c>
      <c r="C194" s="1" t="n">
        <v>45729</v>
      </c>
      <c r="D194" t="inlineStr">
        <is>
          <t>DALARNAS LÄN</t>
        </is>
      </c>
      <c r="E194" t="inlineStr">
        <is>
          <t>ORSA</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45729</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41295-2021</t>
        </is>
      </c>
      <c r="B196" s="1" t="n">
        <v>44424</v>
      </c>
      <c r="C196" s="1" t="n">
        <v>45729</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41425-2021</t>
        </is>
      </c>
      <c r="B197" s="1" t="n">
        <v>44424</v>
      </c>
      <c r="C197" s="1" t="n">
        <v>45729</v>
      </c>
      <c r="D197" t="inlineStr">
        <is>
          <t>DALARNAS LÄN</t>
        </is>
      </c>
      <c r="E197" t="inlineStr">
        <is>
          <t>ORSA</t>
        </is>
      </c>
      <c r="G197" t="n">
        <v>0.4</v>
      </c>
      <c r="H197" t="n">
        <v>0</v>
      </c>
      <c r="I197" t="n">
        <v>0</v>
      </c>
      <c r="J197" t="n">
        <v>0</v>
      </c>
      <c r="K197" t="n">
        <v>0</v>
      </c>
      <c r="L197" t="n">
        <v>0</v>
      </c>
      <c r="M197" t="n">
        <v>0</v>
      </c>
      <c r="N197" t="n">
        <v>0</v>
      </c>
      <c r="O197" t="n">
        <v>0</v>
      </c>
      <c r="P197" t="n">
        <v>0</v>
      </c>
      <c r="Q197" t="n">
        <v>0</v>
      </c>
      <c r="R197" s="2" t="inlineStr"/>
    </row>
    <row r="198" ht="15" customHeight="1">
      <c r="A198" t="inlineStr">
        <is>
          <t>A 43391-2021</t>
        </is>
      </c>
      <c r="B198" s="1" t="n">
        <v>44432</v>
      </c>
      <c r="C198" s="1" t="n">
        <v>45729</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47126-2021</t>
        </is>
      </c>
      <c r="B199" s="1" t="n">
        <v>44446</v>
      </c>
      <c r="C199" s="1" t="n">
        <v>45729</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47732-2021</t>
        </is>
      </c>
      <c r="B200" s="1" t="n">
        <v>44448</v>
      </c>
      <c r="C200" s="1" t="n">
        <v>45729</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47778-2021</t>
        </is>
      </c>
      <c r="B201" s="1" t="n">
        <v>44448</v>
      </c>
      <c r="C201" s="1" t="n">
        <v>45729</v>
      </c>
      <c r="D201" t="inlineStr">
        <is>
          <t>DALARNAS LÄN</t>
        </is>
      </c>
      <c r="E201" t="inlineStr">
        <is>
          <t>ORSA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49028-2021</t>
        </is>
      </c>
      <c r="B202" s="1" t="n">
        <v>44453</v>
      </c>
      <c r="C202" s="1" t="n">
        <v>45729</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49004-2021</t>
        </is>
      </c>
      <c r="B203" s="1" t="n">
        <v>44453</v>
      </c>
      <c r="C203" s="1" t="n">
        <v>45729</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49533-2021</t>
        </is>
      </c>
      <c r="B204" s="1" t="n">
        <v>44455</v>
      </c>
      <c r="C204" s="1" t="n">
        <v>45729</v>
      </c>
      <c r="D204" t="inlineStr">
        <is>
          <t>DALARNAS LÄN</t>
        </is>
      </c>
      <c r="E204" t="inlineStr">
        <is>
          <t>ORSA</t>
        </is>
      </c>
      <c r="F204" t="inlineStr">
        <is>
          <t>Allmännings- och besparingsskogar</t>
        </is>
      </c>
      <c r="G204" t="n">
        <v>22.2</v>
      </c>
      <c r="H204" t="n">
        <v>0</v>
      </c>
      <c r="I204" t="n">
        <v>0</v>
      </c>
      <c r="J204" t="n">
        <v>0</v>
      </c>
      <c r="K204" t="n">
        <v>0</v>
      </c>
      <c r="L204" t="n">
        <v>0</v>
      </c>
      <c r="M204" t="n">
        <v>0</v>
      </c>
      <c r="N204" t="n">
        <v>0</v>
      </c>
      <c r="O204" t="n">
        <v>0</v>
      </c>
      <c r="P204" t="n">
        <v>0</v>
      </c>
      <c r="Q204" t="n">
        <v>0</v>
      </c>
      <c r="R204" s="2" t="inlineStr"/>
    </row>
    <row r="205" ht="15" customHeight="1">
      <c r="A205" t="inlineStr">
        <is>
          <t>A 50297-2021</t>
        </is>
      </c>
      <c r="B205" s="1" t="n">
        <v>44459</v>
      </c>
      <c r="C205" s="1" t="n">
        <v>45729</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50843-2021</t>
        </is>
      </c>
      <c r="B206" s="1" t="n">
        <v>44460</v>
      </c>
      <c r="C206" s="1" t="n">
        <v>45729</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50779-2021</t>
        </is>
      </c>
      <c r="B207" s="1" t="n">
        <v>44460</v>
      </c>
      <c r="C207" s="1" t="n">
        <v>45729</v>
      </c>
      <c r="D207" t="inlineStr">
        <is>
          <t>DALARNAS LÄN</t>
        </is>
      </c>
      <c r="E207" t="inlineStr">
        <is>
          <t>ORSA</t>
        </is>
      </c>
      <c r="G207" t="n">
        <v>2.2</v>
      </c>
      <c r="H207" t="n">
        <v>0</v>
      </c>
      <c r="I207" t="n">
        <v>0</v>
      </c>
      <c r="J207" t="n">
        <v>0</v>
      </c>
      <c r="K207" t="n">
        <v>0</v>
      </c>
      <c r="L207" t="n">
        <v>0</v>
      </c>
      <c r="M207" t="n">
        <v>0</v>
      </c>
      <c r="N207" t="n">
        <v>0</v>
      </c>
      <c r="O207" t="n">
        <v>0</v>
      </c>
      <c r="P207" t="n">
        <v>0</v>
      </c>
      <c r="Q207" t="n">
        <v>0</v>
      </c>
      <c r="R207" s="2" t="inlineStr"/>
    </row>
    <row r="208" ht="15" customHeight="1">
      <c r="A208" t="inlineStr">
        <is>
          <t>A 50905-2021</t>
        </is>
      </c>
      <c r="B208" s="1" t="n">
        <v>44460</v>
      </c>
      <c r="C208" s="1" t="n">
        <v>45729</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v>
      </c>
      <c r="C209" s="1" t="n">
        <v>45729</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50999-2021</t>
        </is>
      </c>
      <c r="B210" s="1" t="n">
        <v>44460</v>
      </c>
      <c r="C210" s="1" t="n">
        <v>45729</v>
      </c>
      <c r="D210" t="inlineStr">
        <is>
          <t>DALARNAS LÄN</t>
        </is>
      </c>
      <c r="E210" t="inlineStr">
        <is>
          <t>ORSA</t>
        </is>
      </c>
      <c r="G210" t="n">
        <v>3</v>
      </c>
      <c r="H210" t="n">
        <v>0</v>
      </c>
      <c r="I210" t="n">
        <v>0</v>
      </c>
      <c r="J210" t="n">
        <v>0</v>
      </c>
      <c r="K210" t="n">
        <v>0</v>
      </c>
      <c r="L210" t="n">
        <v>0</v>
      </c>
      <c r="M210" t="n">
        <v>0</v>
      </c>
      <c r="N210" t="n">
        <v>0</v>
      </c>
      <c r="O210" t="n">
        <v>0</v>
      </c>
      <c r="P210" t="n">
        <v>0</v>
      </c>
      <c r="Q210" t="n">
        <v>0</v>
      </c>
      <c r="R210" s="2" t="inlineStr"/>
    </row>
    <row r="211" ht="15" customHeight="1">
      <c r="A211" t="inlineStr">
        <is>
          <t>A 51277-2021</t>
        </is>
      </c>
      <c r="B211" s="1" t="n">
        <v>44461</v>
      </c>
      <c r="C211" s="1" t="n">
        <v>45729</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51278-2021</t>
        </is>
      </c>
      <c r="B212" s="1" t="n">
        <v>44461</v>
      </c>
      <c r="C212" s="1" t="n">
        <v>45729</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52542-2021</t>
        </is>
      </c>
      <c r="B213" s="1" t="n">
        <v>44466</v>
      </c>
      <c r="C213" s="1" t="n">
        <v>45729</v>
      </c>
      <c r="D213" t="inlineStr">
        <is>
          <t>DALARNAS LÄN</t>
        </is>
      </c>
      <c r="E213" t="inlineStr">
        <is>
          <t>ORSA</t>
        </is>
      </c>
      <c r="G213" t="n">
        <v>0.3</v>
      </c>
      <c r="H213" t="n">
        <v>0</v>
      </c>
      <c r="I213" t="n">
        <v>0</v>
      </c>
      <c r="J213" t="n">
        <v>0</v>
      </c>
      <c r="K213" t="n">
        <v>0</v>
      </c>
      <c r="L213" t="n">
        <v>0</v>
      </c>
      <c r="M213" t="n">
        <v>0</v>
      </c>
      <c r="N213" t="n">
        <v>0</v>
      </c>
      <c r="O213" t="n">
        <v>0</v>
      </c>
      <c r="P213" t="n">
        <v>0</v>
      </c>
      <c r="Q213" t="n">
        <v>0</v>
      </c>
      <c r="R213" s="2" t="inlineStr"/>
    </row>
    <row r="214" ht="15" customHeight="1">
      <c r="A214" t="inlineStr">
        <is>
          <t>A 52574-2021</t>
        </is>
      </c>
      <c r="B214" s="1" t="n">
        <v>44466</v>
      </c>
      <c r="C214" s="1" t="n">
        <v>45729</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53102-2021</t>
        </is>
      </c>
      <c r="B215" s="1" t="n">
        <v>44467</v>
      </c>
      <c r="C215" s="1" t="n">
        <v>45729</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53104-2021</t>
        </is>
      </c>
      <c r="B216" s="1" t="n">
        <v>44467</v>
      </c>
      <c r="C216" s="1" t="n">
        <v>45729</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53106-2021</t>
        </is>
      </c>
      <c r="B217" s="1" t="n">
        <v>44468</v>
      </c>
      <c r="C217" s="1" t="n">
        <v>45729</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53740-2021</t>
        </is>
      </c>
      <c r="B218" s="1" t="n">
        <v>44469</v>
      </c>
      <c r="C218" s="1" t="n">
        <v>45729</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53745-2021</t>
        </is>
      </c>
      <c r="B219" s="1" t="n">
        <v>44469</v>
      </c>
      <c r="C219" s="1" t="n">
        <v>45729</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54760-2021</t>
        </is>
      </c>
      <c r="B220" s="1" t="n">
        <v>44474</v>
      </c>
      <c r="C220" s="1" t="n">
        <v>45729</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55354-2021</t>
        </is>
      </c>
      <c r="B221" s="1" t="n">
        <v>44475</v>
      </c>
      <c r="C221" s="1" t="n">
        <v>45729</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56162-2021</t>
        </is>
      </c>
      <c r="B222" s="1" t="n">
        <v>44477</v>
      </c>
      <c r="C222" s="1" t="n">
        <v>45729</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56711-2021</t>
        </is>
      </c>
      <c r="B223" s="1" t="n">
        <v>44481</v>
      </c>
      <c r="C223" s="1" t="n">
        <v>45729</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56706-2021</t>
        </is>
      </c>
      <c r="B224" s="1" t="n">
        <v>44481</v>
      </c>
      <c r="C224" s="1" t="n">
        <v>45729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57271-2021</t>
        </is>
      </c>
      <c r="B225" s="1" t="n">
        <v>44483</v>
      </c>
      <c r="C225" s="1" t="n">
        <v>45729</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57685-2021</t>
        </is>
      </c>
      <c r="B226" s="1" t="n">
        <v>44484</v>
      </c>
      <c r="C226" s="1" t="n">
        <v>45729</v>
      </c>
      <c r="D226" t="inlineStr">
        <is>
          <t>DALARNAS LÄN</t>
        </is>
      </c>
      <c r="E226" t="inlineStr">
        <is>
          <t>ORSA</t>
        </is>
      </c>
      <c r="G226" t="n">
        <v>4.1</v>
      </c>
      <c r="H226" t="n">
        <v>0</v>
      </c>
      <c r="I226" t="n">
        <v>0</v>
      </c>
      <c r="J226" t="n">
        <v>0</v>
      </c>
      <c r="K226" t="n">
        <v>0</v>
      </c>
      <c r="L226" t="n">
        <v>0</v>
      </c>
      <c r="M226" t="n">
        <v>0</v>
      </c>
      <c r="N226" t="n">
        <v>0</v>
      </c>
      <c r="O226" t="n">
        <v>0</v>
      </c>
      <c r="P226" t="n">
        <v>0</v>
      </c>
      <c r="Q226" t="n">
        <v>0</v>
      </c>
      <c r="R226" s="2" t="inlineStr"/>
    </row>
    <row r="227" ht="15" customHeight="1">
      <c r="A227" t="inlineStr">
        <is>
          <t>A 59868-2021</t>
        </is>
      </c>
      <c r="B227" s="1" t="n">
        <v>44494</v>
      </c>
      <c r="C227" s="1" t="n">
        <v>45729</v>
      </c>
      <c r="D227" t="inlineStr">
        <is>
          <t>DALARNAS LÄN</t>
        </is>
      </c>
      <c r="E227" t="inlineStr">
        <is>
          <t>ORSA</t>
        </is>
      </c>
      <c r="G227" t="n">
        <v>4.3</v>
      </c>
      <c r="H227" t="n">
        <v>0</v>
      </c>
      <c r="I227" t="n">
        <v>0</v>
      </c>
      <c r="J227" t="n">
        <v>0</v>
      </c>
      <c r="K227" t="n">
        <v>0</v>
      </c>
      <c r="L227" t="n">
        <v>0</v>
      </c>
      <c r="M227" t="n">
        <v>0</v>
      </c>
      <c r="N227" t="n">
        <v>0</v>
      </c>
      <c r="O227" t="n">
        <v>0</v>
      </c>
      <c r="P227" t="n">
        <v>0</v>
      </c>
      <c r="Q227" t="n">
        <v>0</v>
      </c>
      <c r="R227" s="2" t="inlineStr"/>
    </row>
    <row r="228" ht="15" customHeight="1">
      <c r="A228" t="inlineStr">
        <is>
          <t>A 60391-2021</t>
        </is>
      </c>
      <c r="B228" s="1" t="n">
        <v>44496</v>
      </c>
      <c r="C228" s="1" t="n">
        <v>45729</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61005-2021</t>
        </is>
      </c>
      <c r="B229" s="1" t="n">
        <v>44497</v>
      </c>
      <c r="C229" s="1" t="n">
        <v>45729</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60827-2021</t>
        </is>
      </c>
      <c r="B230" s="1" t="n">
        <v>44497</v>
      </c>
      <c r="C230" s="1" t="n">
        <v>45729</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61000-2021</t>
        </is>
      </c>
      <c r="B231" s="1" t="n">
        <v>44497</v>
      </c>
      <c r="C231" s="1" t="n">
        <v>45729</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62370-2021</t>
        </is>
      </c>
      <c r="B232" s="1" t="n">
        <v>44503</v>
      </c>
      <c r="C232" s="1" t="n">
        <v>45729</v>
      </c>
      <c r="D232" t="inlineStr">
        <is>
          <t>DALARNAS LÄN</t>
        </is>
      </c>
      <c r="E232" t="inlineStr">
        <is>
          <t>ORSA</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64776-2021</t>
        </is>
      </c>
      <c r="B233" s="1" t="n">
        <v>44512</v>
      </c>
      <c r="C233" s="1" t="n">
        <v>45729</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64747-2021</t>
        </is>
      </c>
      <c r="B234" s="1" t="n">
        <v>44512</v>
      </c>
      <c r="C234" s="1" t="n">
        <v>45729</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68013-2021</t>
        </is>
      </c>
      <c r="B235" s="1" t="n">
        <v>44525</v>
      </c>
      <c r="C235" s="1" t="n">
        <v>45729</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68230-2021</t>
        </is>
      </c>
      <c r="B236" s="1" t="n">
        <v>44526</v>
      </c>
      <c r="C236" s="1" t="n">
        <v>45729</v>
      </c>
      <c r="D236" t="inlineStr">
        <is>
          <t>DALARNAS LÄN</t>
        </is>
      </c>
      <c r="E236" t="inlineStr">
        <is>
          <t>ORSA</t>
        </is>
      </c>
      <c r="F236" t="inlineStr">
        <is>
          <t>Kyrkan</t>
        </is>
      </c>
      <c r="G236" t="n">
        <v>2.2</v>
      </c>
      <c r="H236" t="n">
        <v>0</v>
      </c>
      <c r="I236" t="n">
        <v>0</v>
      </c>
      <c r="J236" t="n">
        <v>0</v>
      </c>
      <c r="K236" t="n">
        <v>0</v>
      </c>
      <c r="L236" t="n">
        <v>0</v>
      </c>
      <c r="M236" t="n">
        <v>0</v>
      </c>
      <c r="N236" t="n">
        <v>0</v>
      </c>
      <c r="O236" t="n">
        <v>0</v>
      </c>
      <c r="P236" t="n">
        <v>0</v>
      </c>
      <c r="Q236" t="n">
        <v>0</v>
      </c>
      <c r="R236" s="2" t="inlineStr"/>
    </row>
    <row r="237" ht="15" customHeight="1">
      <c r="A237" t="inlineStr">
        <is>
          <t>A 69060-2021</t>
        </is>
      </c>
      <c r="B237" s="1" t="n">
        <v>44530</v>
      </c>
      <c r="C237" s="1" t="n">
        <v>45729</v>
      </c>
      <c r="D237" t="inlineStr">
        <is>
          <t>DALARNAS LÄN</t>
        </is>
      </c>
      <c r="E237" t="inlineStr">
        <is>
          <t>ORSA</t>
        </is>
      </c>
      <c r="F237" t="inlineStr">
        <is>
          <t>Allmännings- och besparingsskogar</t>
        </is>
      </c>
      <c r="G237" t="n">
        <v>2.8</v>
      </c>
      <c r="H237" t="n">
        <v>0</v>
      </c>
      <c r="I237" t="n">
        <v>0</v>
      </c>
      <c r="J237" t="n">
        <v>0</v>
      </c>
      <c r="K237" t="n">
        <v>0</v>
      </c>
      <c r="L237" t="n">
        <v>0</v>
      </c>
      <c r="M237" t="n">
        <v>0</v>
      </c>
      <c r="N237" t="n">
        <v>0</v>
      </c>
      <c r="O237" t="n">
        <v>0</v>
      </c>
      <c r="P237" t="n">
        <v>0</v>
      </c>
      <c r="Q237" t="n">
        <v>0</v>
      </c>
      <c r="R237" s="2" t="inlineStr"/>
    </row>
    <row r="238" ht="15" customHeight="1">
      <c r="A238" t="inlineStr">
        <is>
          <t>A 69046-2021</t>
        </is>
      </c>
      <c r="B238" s="1" t="n">
        <v>44530</v>
      </c>
      <c r="C238" s="1" t="n">
        <v>45729</v>
      </c>
      <c r="D238" t="inlineStr">
        <is>
          <t>DALARNAS LÄN</t>
        </is>
      </c>
      <c r="E238" t="inlineStr">
        <is>
          <t>ORSA</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69721-2021</t>
        </is>
      </c>
      <c r="B239" s="1" t="n">
        <v>44532</v>
      </c>
      <c r="C239" s="1" t="n">
        <v>45729</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69735-2021</t>
        </is>
      </c>
      <c r="B240" s="1" t="n">
        <v>44532</v>
      </c>
      <c r="C240" s="1" t="n">
        <v>45729</v>
      </c>
      <c r="D240" t="inlineStr">
        <is>
          <t>DALARNAS LÄN</t>
        </is>
      </c>
      <c r="E240" t="inlineStr">
        <is>
          <t>ORSA</t>
        </is>
      </c>
      <c r="G240" t="n">
        <v>2.4</v>
      </c>
      <c r="H240" t="n">
        <v>0</v>
      </c>
      <c r="I240" t="n">
        <v>0</v>
      </c>
      <c r="J240" t="n">
        <v>0</v>
      </c>
      <c r="K240" t="n">
        <v>0</v>
      </c>
      <c r="L240" t="n">
        <v>0</v>
      </c>
      <c r="M240" t="n">
        <v>0</v>
      </c>
      <c r="N240" t="n">
        <v>0</v>
      </c>
      <c r="O240" t="n">
        <v>0</v>
      </c>
      <c r="P240" t="n">
        <v>0</v>
      </c>
      <c r="Q240" t="n">
        <v>0</v>
      </c>
      <c r="R240" s="2" t="inlineStr"/>
    </row>
    <row r="241" ht="15" customHeight="1">
      <c r="A241" t="inlineStr">
        <is>
          <t>A 70332-2021</t>
        </is>
      </c>
      <c r="B241" s="1" t="n">
        <v>44536</v>
      </c>
      <c r="C241" s="1" t="n">
        <v>45729</v>
      </c>
      <c r="D241" t="inlineStr">
        <is>
          <t>DALARNAS LÄN</t>
        </is>
      </c>
      <c r="E241" t="inlineStr">
        <is>
          <t>ORSA</t>
        </is>
      </c>
      <c r="G241" t="n">
        <v>7.2</v>
      </c>
      <c r="H241" t="n">
        <v>0</v>
      </c>
      <c r="I241" t="n">
        <v>0</v>
      </c>
      <c r="J241" t="n">
        <v>0</v>
      </c>
      <c r="K241" t="n">
        <v>0</v>
      </c>
      <c r="L241" t="n">
        <v>0</v>
      </c>
      <c r="M241" t="n">
        <v>0</v>
      </c>
      <c r="N241" t="n">
        <v>0</v>
      </c>
      <c r="O241" t="n">
        <v>0</v>
      </c>
      <c r="P241" t="n">
        <v>0</v>
      </c>
      <c r="Q241" t="n">
        <v>0</v>
      </c>
      <c r="R241" s="2" t="inlineStr"/>
    </row>
    <row r="242" ht="15" customHeight="1">
      <c r="A242" t="inlineStr">
        <is>
          <t>A 71744-2021</t>
        </is>
      </c>
      <c r="B242" s="1" t="n">
        <v>44543</v>
      </c>
      <c r="C242" s="1" t="n">
        <v>45729</v>
      </c>
      <c r="D242" t="inlineStr">
        <is>
          <t>DALARNAS LÄN</t>
        </is>
      </c>
      <c r="E242" t="inlineStr">
        <is>
          <t>ORSA</t>
        </is>
      </c>
      <c r="F242" t="inlineStr">
        <is>
          <t>Kyrkan</t>
        </is>
      </c>
      <c r="G242" t="n">
        <v>1.5</v>
      </c>
      <c r="H242" t="n">
        <v>0</v>
      </c>
      <c r="I242" t="n">
        <v>0</v>
      </c>
      <c r="J242" t="n">
        <v>0</v>
      </c>
      <c r="K242" t="n">
        <v>0</v>
      </c>
      <c r="L242" t="n">
        <v>0</v>
      </c>
      <c r="M242" t="n">
        <v>0</v>
      </c>
      <c r="N242" t="n">
        <v>0</v>
      </c>
      <c r="O242" t="n">
        <v>0</v>
      </c>
      <c r="P242" t="n">
        <v>0</v>
      </c>
      <c r="Q242" t="n">
        <v>0</v>
      </c>
      <c r="R242" s="2" t="inlineStr"/>
    </row>
    <row r="243" ht="15" customHeight="1">
      <c r="A243" t="inlineStr">
        <is>
          <t>A 72310-2021</t>
        </is>
      </c>
      <c r="B243" s="1" t="n">
        <v>44545</v>
      </c>
      <c r="C243" s="1" t="n">
        <v>45729</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72284-2021</t>
        </is>
      </c>
      <c r="B244" s="1" t="n">
        <v>44545</v>
      </c>
      <c r="C244" s="1" t="n">
        <v>45729</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160-2022</t>
        </is>
      </c>
      <c r="B245" s="1" t="n">
        <v>44564</v>
      </c>
      <c r="C245" s="1" t="n">
        <v>45729</v>
      </c>
      <c r="D245" t="inlineStr">
        <is>
          <t>DALARNAS LÄN</t>
        </is>
      </c>
      <c r="E245" t="inlineStr">
        <is>
          <t>ORSA</t>
        </is>
      </c>
      <c r="F245" t="inlineStr">
        <is>
          <t>Kommuner</t>
        </is>
      </c>
      <c r="G245" t="n">
        <v>0.1</v>
      </c>
      <c r="H245" t="n">
        <v>0</v>
      </c>
      <c r="I245" t="n">
        <v>0</v>
      </c>
      <c r="J245" t="n">
        <v>0</v>
      </c>
      <c r="K245" t="n">
        <v>0</v>
      </c>
      <c r="L245" t="n">
        <v>0</v>
      </c>
      <c r="M245" t="n">
        <v>0</v>
      </c>
      <c r="N245" t="n">
        <v>0</v>
      </c>
      <c r="O245" t="n">
        <v>0</v>
      </c>
      <c r="P245" t="n">
        <v>0</v>
      </c>
      <c r="Q245" t="n">
        <v>0</v>
      </c>
      <c r="R245" s="2" t="inlineStr"/>
    </row>
    <row r="246" ht="15" customHeight="1">
      <c r="A246" t="inlineStr">
        <is>
          <t>A 169-2022</t>
        </is>
      </c>
      <c r="B246" s="1" t="n">
        <v>44564</v>
      </c>
      <c r="C246" s="1" t="n">
        <v>45729</v>
      </c>
      <c r="D246" t="inlineStr">
        <is>
          <t>DALARNAS LÄN</t>
        </is>
      </c>
      <c r="E246" t="inlineStr">
        <is>
          <t>ORSA</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2882-2022</t>
        </is>
      </c>
      <c r="B247" s="1" t="n">
        <v>44581</v>
      </c>
      <c r="C247" s="1" t="n">
        <v>45729</v>
      </c>
      <c r="D247" t="inlineStr">
        <is>
          <t>DALARNAS LÄN</t>
        </is>
      </c>
      <c r="E247" t="inlineStr">
        <is>
          <t>ORSA</t>
        </is>
      </c>
      <c r="G247" t="n">
        <v>2.7</v>
      </c>
      <c r="H247" t="n">
        <v>0</v>
      </c>
      <c r="I247" t="n">
        <v>0</v>
      </c>
      <c r="J247" t="n">
        <v>0</v>
      </c>
      <c r="K247" t="n">
        <v>0</v>
      </c>
      <c r="L247" t="n">
        <v>0</v>
      </c>
      <c r="M247" t="n">
        <v>0</v>
      </c>
      <c r="N247" t="n">
        <v>0</v>
      </c>
      <c r="O247" t="n">
        <v>0</v>
      </c>
      <c r="P247" t="n">
        <v>0</v>
      </c>
      <c r="Q247" t="n">
        <v>0</v>
      </c>
      <c r="R247" s="2" t="inlineStr"/>
    </row>
    <row r="248" ht="15" customHeight="1">
      <c r="A248" t="inlineStr">
        <is>
          <t>A 9561-2022</t>
        </is>
      </c>
      <c r="B248" s="1" t="n">
        <v>44617</v>
      </c>
      <c r="C248" s="1" t="n">
        <v>45729</v>
      </c>
      <c r="D248" t="inlineStr">
        <is>
          <t>DALARNAS LÄN</t>
        </is>
      </c>
      <c r="E248" t="inlineStr">
        <is>
          <t>ORSA</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9807-2022</t>
        </is>
      </c>
      <c r="B249" s="1" t="n">
        <v>44620</v>
      </c>
      <c r="C249" s="1" t="n">
        <v>45729</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9836-2022</t>
        </is>
      </c>
      <c r="B250" s="1" t="n">
        <v>44620</v>
      </c>
      <c r="C250" s="1" t="n">
        <v>45729</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v>
      </c>
      <c r="C251" s="1" t="n">
        <v>45729</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10262-2022</t>
        </is>
      </c>
      <c r="B252" s="1" t="n">
        <v>44622</v>
      </c>
      <c r="C252" s="1" t="n">
        <v>45729</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10398-2022</t>
        </is>
      </c>
      <c r="B253" s="1" t="n">
        <v>44623</v>
      </c>
      <c r="C253" s="1" t="n">
        <v>45729</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10405-2022</t>
        </is>
      </c>
      <c r="B254" s="1" t="n">
        <v>44623</v>
      </c>
      <c r="C254" s="1" t="n">
        <v>45729</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10375-2022</t>
        </is>
      </c>
      <c r="B255" s="1" t="n">
        <v>44623</v>
      </c>
      <c r="C255" s="1" t="n">
        <v>45729</v>
      </c>
      <c r="D255" t="inlineStr">
        <is>
          <t>DALARNAS LÄN</t>
        </is>
      </c>
      <c r="E255" t="inlineStr">
        <is>
          <t>ORSA</t>
        </is>
      </c>
      <c r="G255" t="n">
        <v>4.8</v>
      </c>
      <c r="H255" t="n">
        <v>0</v>
      </c>
      <c r="I255" t="n">
        <v>0</v>
      </c>
      <c r="J255" t="n">
        <v>0</v>
      </c>
      <c r="K255" t="n">
        <v>0</v>
      </c>
      <c r="L255" t="n">
        <v>0</v>
      </c>
      <c r="M255" t="n">
        <v>0</v>
      </c>
      <c r="N255" t="n">
        <v>0</v>
      </c>
      <c r="O255" t="n">
        <v>0</v>
      </c>
      <c r="P255" t="n">
        <v>0</v>
      </c>
      <c r="Q255" t="n">
        <v>0</v>
      </c>
      <c r="R255" s="2" t="inlineStr"/>
    </row>
    <row r="256" ht="15" customHeight="1">
      <c r="A256" t="inlineStr">
        <is>
          <t>A 10832-2022</t>
        </is>
      </c>
      <c r="B256" s="1" t="n">
        <v>44627</v>
      </c>
      <c r="C256" s="1" t="n">
        <v>45729</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11138-2022</t>
        </is>
      </c>
      <c r="B257" s="1" t="n">
        <v>44629</v>
      </c>
      <c r="C257" s="1" t="n">
        <v>45729</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12704-2022</t>
        </is>
      </c>
      <c r="B258" s="1" t="n">
        <v>44641</v>
      </c>
      <c r="C258" s="1" t="n">
        <v>45729</v>
      </c>
      <c r="D258" t="inlineStr">
        <is>
          <t>DALARNAS LÄN</t>
        </is>
      </c>
      <c r="E258" t="inlineStr">
        <is>
          <t>ORSA</t>
        </is>
      </c>
      <c r="G258" t="n">
        <v>2.4</v>
      </c>
      <c r="H258" t="n">
        <v>0</v>
      </c>
      <c r="I258" t="n">
        <v>0</v>
      </c>
      <c r="J258" t="n">
        <v>0</v>
      </c>
      <c r="K258" t="n">
        <v>0</v>
      </c>
      <c r="L258" t="n">
        <v>0</v>
      </c>
      <c r="M258" t="n">
        <v>0</v>
      </c>
      <c r="N258" t="n">
        <v>0</v>
      </c>
      <c r="O258" t="n">
        <v>0</v>
      </c>
      <c r="P258" t="n">
        <v>0</v>
      </c>
      <c r="Q258" t="n">
        <v>0</v>
      </c>
      <c r="R258" s="2" t="inlineStr"/>
    </row>
    <row r="259" ht="15" customHeight="1">
      <c r="A259" t="inlineStr">
        <is>
          <t>A 13236-2022</t>
        </is>
      </c>
      <c r="B259" s="1" t="n">
        <v>44644</v>
      </c>
      <c r="C259" s="1" t="n">
        <v>45729</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13185-2022</t>
        </is>
      </c>
      <c r="B260" s="1" t="n">
        <v>44644</v>
      </c>
      <c r="C260" s="1" t="n">
        <v>45729</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13209-2022</t>
        </is>
      </c>
      <c r="B261" s="1" t="n">
        <v>44644</v>
      </c>
      <c r="C261" s="1" t="n">
        <v>45729</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14535-2022</t>
        </is>
      </c>
      <c r="B262" s="1" t="n">
        <v>44655</v>
      </c>
      <c r="C262" s="1" t="n">
        <v>45729</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19067-2022</t>
        </is>
      </c>
      <c r="B263" s="1" t="n">
        <v>44691</v>
      </c>
      <c r="C263" s="1" t="n">
        <v>45729</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45729</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20493-2022</t>
        </is>
      </c>
      <c r="B265" s="1" t="n">
        <v>44699</v>
      </c>
      <c r="C265" s="1" t="n">
        <v>45729</v>
      </c>
      <c r="D265" t="inlineStr">
        <is>
          <t>DALARNAS LÄN</t>
        </is>
      </c>
      <c r="E265" t="inlineStr">
        <is>
          <t>ORSA</t>
        </is>
      </c>
      <c r="F265" t="inlineStr">
        <is>
          <t>Bergvik skog väst AB</t>
        </is>
      </c>
      <c r="G265" t="n">
        <v>61.7</v>
      </c>
      <c r="H265" t="n">
        <v>0</v>
      </c>
      <c r="I265" t="n">
        <v>0</v>
      </c>
      <c r="J265" t="n">
        <v>0</v>
      </c>
      <c r="K265" t="n">
        <v>0</v>
      </c>
      <c r="L265" t="n">
        <v>0</v>
      </c>
      <c r="M265" t="n">
        <v>0</v>
      </c>
      <c r="N265" t="n">
        <v>0</v>
      </c>
      <c r="O265" t="n">
        <v>0</v>
      </c>
      <c r="P265" t="n">
        <v>0</v>
      </c>
      <c r="Q265" t="n">
        <v>0</v>
      </c>
      <c r="R265" s="2" t="inlineStr"/>
    </row>
    <row r="266" ht="15" customHeight="1">
      <c r="A266" t="inlineStr">
        <is>
          <t>A 21905-2022</t>
        </is>
      </c>
      <c r="B266" s="1" t="n">
        <v>44711</v>
      </c>
      <c r="C266" s="1" t="n">
        <v>45729</v>
      </c>
      <c r="D266" t="inlineStr">
        <is>
          <t>DALARNAS LÄN</t>
        </is>
      </c>
      <c r="E266" t="inlineStr">
        <is>
          <t>ORSA</t>
        </is>
      </c>
      <c r="F266" t="inlineStr">
        <is>
          <t>Allmännings- och besparingsskogar</t>
        </is>
      </c>
      <c r="G266" t="n">
        <v>3.1</v>
      </c>
      <c r="H266" t="n">
        <v>0</v>
      </c>
      <c r="I266" t="n">
        <v>0</v>
      </c>
      <c r="J266" t="n">
        <v>0</v>
      </c>
      <c r="K266" t="n">
        <v>0</v>
      </c>
      <c r="L266" t="n">
        <v>0</v>
      </c>
      <c r="M266" t="n">
        <v>0</v>
      </c>
      <c r="N266" t="n">
        <v>0</v>
      </c>
      <c r="O266" t="n">
        <v>0</v>
      </c>
      <c r="P266" t="n">
        <v>0</v>
      </c>
      <c r="Q266" t="n">
        <v>0</v>
      </c>
      <c r="R266" s="2" t="inlineStr"/>
    </row>
    <row r="267" ht="15" customHeight="1">
      <c r="A267" t="inlineStr">
        <is>
          <t>A 22022-2022</t>
        </is>
      </c>
      <c r="B267" s="1" t="n">
        <v>44711</v>
      </c>
      <c r="C267" s="1" t="n">
        <v>45729</v>
      </c>
      <c r="D267" t="inlineStr">
        <is>
          <t>DALARNAS LÄN</t>
        </is>
      </c>
      <c r="E267" t="inlineStr">
        <is>
          <t>ORSA</t>
        </is>
      </c>
      <c r="F267" t="inlineStr">
        <is>
          <t>Bergvik skog öst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22371-2022</t>
        </is>
      </c>
      <c r="B268" s="1" t="n">
        <v>44713</v>
      </c>
      <c r="C268" s="1" t="n">
        <v>45729</v>
      </c>
      <c r="D268" t="inlineStr">
        <is>
          <t>DALARNAS LÄN</t>
        </is>
      </c>
      <c r="E268" t="inlineStr">
        <is>
          <t>ORSA</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22813-2022</t>
        </is>
      </c>
      <c r="B269" s="1" t="n">
        <v>44715</v>
      </c>
      <c r="C269" s="1" t="n">
        <v>45729</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23348-2022</t>
        </is>
      </c>
      <c r="B270" s="1" t="n">
        <v>44720</v>
      </c>
      <c r="C270" s="1" t="n">
        <v>45729</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23344-2022</t>
        </is>
      </c>
      <c r="B271" s="1" t="n">
        <v>44720</v>
      </c>
      <c r="C271" s="1" t="n">
        <v>45729</v>
      </c>
      <c r="D271" t="inlineStr">
        <is>
          <t>DALARNAS LÄN</t>
        </is>
      </c>
      <c r="E271" t="inlineStr">
        <is>
          <t>ORSA</t>
        </is>
      </c>
      <c r="G271" t="n">
        <v>0.2</v>
      </c>
      <c r="H271" t="n">
        <v>0</v>
      </c>
      <c r="I271" t="n">
        <v>0</v>
      </c>
      <c r="J271" t="n">
        <v>0</v>
      </c>
      <c r="K271" t="n">
        <v>0</v>
      </c>
      <c r="L271" t="n">
        <v>0</v>
      </c>
      <c r="M271" t="n">
        <v>0</v>
      </c>
      <c r="N271" t="n">
        <v>0</v>
      </c>
      <c r="O271" t="n">
        <v>0</v>
      </c>
      <c r="P271" t="n">
        <v>0</v>
      </c>
      <c r="Q271" t="n">
        <v>0</v>
      </c>
      <c r="R271" s="2" t="inlineStr"/>
    </row>
    <row r="272" ht="15" customHeight="1">
      <c r="A272" t="inlineStr">
        <is>
          <t>A 23725-2022</t>
        </is>
      </c>
      <c r="B272" s="1" t="n">
        <v>44722</v>
      </c>
      <c r="C272" s="1" t="n">
        <v>45729</v>
      </c>
      <c r="D272" t="inlineStr">
        <is>
          <t>DALARNAS LÄN</t>
        </is>
      </c>
      <c r="E272" t="inlineStr">
        <is>
          <t>ORSA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23821-2022</t>
        </is>
      </c>
      <c r="B273" s="1" t="n">
        <v>44722</v>
      </c>
      <c r="C273" s="1" t="n">
        <v>45729</v>
      </c>
      <c r="D273" t="inlineStr">
        <is>
          <t>DALARNAS LÄN</t>
        </is>
      </c>
      <c r="E273" t="inlineStr">
        <is>
          <t>ORSA</t>
        </is>
      </c>
      <c r="F273" t="inlineStr">
        <is>
          <t>Allmännings- och besparingsskogar</t>
        </is>
      </c>
      <c r="G273" t="n">
        <v>1.7</v>
      </c>
      <c r="H273" t="n">
        <v>0</v>
      </c>
      <c r="I273" t="n">
        <v>0</v>
      </c>
      <c r="J273" t="n">
        <v>0</v>
      </c>
      <c r="K273" t="n">
        <v>0</v>
      </c>
      <c r="L273" t="n">
        <v>0</v>
      </c>
      <c r="M273" t="n">
        <v>0</v>
      </c>
      <c r="N273" t="n">
        <v>0</v>
      </c>
      <c r="O273" t="n">
        <v>0</v>
      </c>
      <c r="P273" t="n">
        <v>0</v>
      </c>
      <c r="Q273" t="n">
        <v>0</v>
      </c>
      <c r="R273" s="2" t="inlineStr"/>
    </row>
    <row r="274" ht="15" customHeight="1">
      <c r="A274" t="inlineStr">
        <is>
          <t>A 24438-2022</t>
        </is>
      </c>
      <c r="B274" s="1" t="n">
        <v>44726</v>
      </c>
      <c r="C274" s="1" t="n">
        <v>45729</v>
      </c>
      <c r="D274" t="inlineStr">
        <is>
          <t>DALARNAS LÄN</t>
        </is>
      </c>
      <c r="E274" t="inlineStr">
        <is>
          <t>ORSA</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24651-2022</t>
        </is>
      </c>
      <c r="B275" s="1" t="n">
        <v>44727</v>
      </c>
      <c r="C275" s="1" t="n">
        <v>45729</v>
      </c>
      <c r="D275" t="inlineStr">
        <is>
          <t>DALARNAS LÄN</t>
        </is>
      </c>
      <c r="E275" t="inlineStr">
        <is>
          <t>ORSA</t>
        </is>
      </c>
      <c r="F275" t="inlineStr">
        <is>
          <t>Allmännings- och besparingsskogar</t>
        </is>
      </c>
      <c r="G275" t="n">
        <v>0.6</v>
      </c>
      <c r="H275" t="n">
        <v>0</v>
      </c>
      <c r="I275" t="n">
        <v>0</v>
      </c>
      <c r="J275" t="n">
        <v>0</v>
      </c>
      <c r="K275" t="n">
        <v>0</v>
      </c>
      <c r="L275" t="n">
        <v>0</v>
      </c>
      <c r="M275" t="n">
        <v>0</v>
      </c>
      <c r="N275" t="n">
        <v>0</v>
      </c>
      <c r="O275" t="n">
        <v>0</v>
      </c>
      <c r="P275" t="n">
        <v>0</v>
      </c>
      <c r="Q275" t="n">
        <v>0</v>
      </c>
      <c r="R275" s="2" t="inlineStr"/>
    </row>
    <row r="276" ht="15" customHeight="1">
      <c r="A276" t="inlineStr">
        <is>
          <t>A 25172-2022</t>
        </is>
      </c>
      <c r="B276" s="1" t="n">
        <v>44729</v>
      </c>
      <c r="C276" s="1" t="n">
        <v>45729</v>
      </c>
      <c r="D276" t="inlineStr">
        <is>
          <t>DALARNAS LÄN</t>
        </is>
      </c>
      <c r="E276" t="inlineStr">
        <is>
          <t>ORSA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25591-2022</t>
        </is>
      </c>
      <c r="B277" s="1" t="n">
        <v>44732</v>
      </c>
      <c r="C277" s="1" t="n">
        <v>45729</v>
      </c>
      <c r="D277" t="inlineStr">
        <is>
          <t>DALARNAS LÄN</t>
        </is>
      </c>
      <c r="E277" t="inlineStr">
        <is>
          <t>ORSA</t>
        </is>
      </c>
      <c r="G277" t="n">
        <v>6</v>
      </c>
      <c r="H277" t="n">
        <v>0</v>
      </c>
      <c r="I277" t="n">
        <v>0</v>
      </c>
      <c r="J277" t="n">
        <v>0</v>
      </c>
      <c r="K277" t="n">
        <v>0</v>
      </c>
      <c r="L277" t="n">
        <v>0</v>
      </c>
      <c r="M277" t="n">
        <v>0</v>
      </c>
      <c r="N277" t="n">
        <v>0</v>
      </c>
      <c r="O277" t="n">
        <v>0</v>
      </c>
      <c r="P277" t="n">
        <v>0</v>
      </c>
      <c r="Q277" t="n">
        <v>0</v>
      </c>
      <c r="R277" s="2" t="inlineStr"/>
    </row>
    <row r="278" ht="15" customHeight="1">
      <c r="A278" t="inlineStr">
        <is>
          <t>A 26215-2022</t>
        </is>
      </c>
      <c r="B278" s="1" t="n">
        <v>44735</v>
      </c>
      <c r="C278" s="1" t="n">
        <v>45729</v>
      </c>
      <c r="D278" t="inlineStr">
        <is>
          <t>DALARNAS LÄN</t>
        </is>
      </c>
      <c r="E278" t="inlineStr">
        <is>
          <t>ORSA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27498-2022</t>
        </is>
      </c>
      <c r="B279" s="1" t="n">
        <v>44742</v>
      </c>
      <c r="C279" s="1" t="n">
        <v>45729</v>
      </c>
      <c r="D279" t="inlineStr">
        <is>
          <t>DALARNAS LÄN</t>
        </is>
      </c>
      <c r="E279" t="inlineStr">
        <is>
          <t>ORSA</t>
        </is>
      </c>
      <c r="G279" t="n">
        <v>5.7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45729</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30109-2022</t>
        </is>
      </c>
      <c r="B281" s="1" t="n">
        <v>44757</v>
      </c>
      <c r="C281" s="1" t="n">
        <v>45729</v>
      </c>
      <c r="D281" t="inlineStr">
        <is>
          <t>DALARNAS LÄN</t>
        </is>
      </c>
      <c r="E281" t="inlineStr">
        <is>
          <t>ORSA</t>
        </is>
      </c>
      <c r="F281" t="inlineStr">
        <is>
          <t>Allmännings- och besparingsskogar</t>
        </is>
      </c>
      <c r="G281" t="n">
        <v>0.8</v>
      </c>
      <c r="H281" t="n">
        <v>0</v>
      </c>
      <c r="I281" t="n">
        <v>0</v>
      </c>
      <c r="J281" t="n">
        <v>0</v>
      </c>
      <c r="K281" t="n">
        <v>0</v>
      </c>
      <c r="L281" t="n">
        <v>0</v>
      </c>
      <c r="M281" t="n">
        <v>0</v>
      </c>
      <c r="N281" t="n">
        <v>0</v>
      </c>
      <c r="O281" t="n">
        <v>0</v>
      </c>
      <c r="P281" t="n">
        <v>0</v>
      </c>
      <c r="Q281" t="n">
        <v>0</v>
      </c>
      <c r="R281" s="2" t="inlineStr"/>
    </row>
    <row r="282" ht="15" customHeight="1">
      <c r="A282" t="inlineStr">
        <is>
          <t>A 30690-2022</t>
        </is>
      </c>
      <c r="B282" s="1" t="n">
        <v>44763</v>
      </c>
      <c r="C282" s="1" t="n">
        <v>45729</v>
      </c>
      <c r="D282" t="inlineStr">
        <is>
          <t>DALARNAS LÄN</t>
        </is>
      </c>
      <c r="E282" t="inlineStr">
        <is>
          <t>ORSA</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30861-2022</t>
        </is>
      </c>
      <c r="B283" s="1" t="n">
        <v>44767</v>
      </c>
      <c r="C283" s="1" t="n">
        <v>45729</v>
      </c>
      <c r="D283" t="inlineStr">
        <is>
          <t>DALARNAS LÄN</t>
        </is>
      </c>
      <c r="E283" t="inlineStr">
        <is>
          <t>ORSA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31164-2022</t>
        </is>
      </c>
      <c r="B284" s="1" t="n">
        <v>44770</v>
      </c>
      <c r="C284" s="1" t="n">
        <v>45729</v>
      </c>
      <c r="D284" t="inlineStr">
        <is>
          <t>DALARNAS LÄN</t>
        </is>
      </c>
      <c r="E284" t="inlineStr">
        <is>
          <t>ORSA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31876-2022</t>
        </is>
      </c>
      <c r="B285" s="1" t="n">
        <v>44777</v>
      </c>
      <c r="C285" s="1" t="n">
        <v>45729</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32931-2022</t>
        </is>
      </c>
      <c r="B286" s="1" t="n">
        <v>44784</v>
      </c>
      <c r="C286" s="1" t="n">
        <v>45729</v>
      </c>
      <c r="D286" t="inlineStr">
        <is>
          <t>DALARNAS LÄN</t>
        </is>
      </c>
      <c r="E286" t="inlineStr">
        <is>
          <t>ORSA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33384-2022</t>
        </is>
      </c>
      <c r="B287" s="1" t="n">
        <v>44788</v>
      </c>
      <c r="C287" s="1" t="n">
        <v>45729</v>
      </c>
      <c r="D287" t="inlineStr">
        <is>
          <t>DALARNAS LÄN</t>
        </is>
      </c>
      <c r="E287" t="inlineStr">
        <is>
          <t>ORSA</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33945-2022</t>
        </is>
      </c>
      <c r="B288" s="1" t="n">
        <v>44790</v>
      </c>
      <c r="C288" s="1" t="n">
        <v>45729</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38303-2022</t>
        </is>
      </c>
      <c r="B289" s="1" t="n">
        <v>44812</v>
      </c>
      <c r="C289" s="1" t="n">
        <v>45729</v>
      </c>
      <c r="D289" t="inlineStr">
        <is>
          <t>DALARNAS LÄN</t>
        </is>
      </c>
      <c r="E289" t="inlineStr">
        <is>
          <t>ORSA</t>
        </is>
      </c>
      <c r="F289" t="inlineStr">
        <is>
          <t>Allmännings- och besparingsskogar</t>
        </is>
      </c>
      <c r="G289" t="n">
        <v>15.5</v>
      </c>
      <c r="H289" t="n">
        <v>0</v>
      </c>
      <c r="I289" t="n">
        <v>0</v>
      </c>
      <c r="J289" t="n">
        <v>0</v>
      </c>
      <c r="K289" t="n">
        <v>0</v>
      </c>
      <c r="L289" t="n">
        <v>0</v>
      </c>
      <c r="M289" t="n">
        <v>0</v>
      </c>
      <c r="N289" t="n">
        <v>0</v>
      </c>
      <c r="O289" t="n">
        <v>0</v>
      </c>
      <c r="P289" t="n">
        <v>0</v>
      </c>
      <c r="Q289" t="n">
        <v>0</v>
      </c>
      <c r="R289" s="2" t="inlineStr"/>
    </row>
    <row r="290" ht="15" customHeight="1">
      <c r="A290" t="inlineStr">
        <is>
          <t>A 38611-2022</t>
        </is>
      </c>
      <c r="B290" s="1" t="n">
        <v>44813</v>
      </c>
      <c r="C290" s="1" t="n">
        <v>45729</v>
      </c>
      <c r="D290" t="inlineStr">
        <is>
          <t>DALARNAS LÄN</t>
        </is>
      </c>
      <c r="E290" t="inlineStr">
        <is>
          <t>ORSA</t>
        </is>
      </c>
      <c r="G290" t="n">
        <v>3.6</v>
      </c>
      <c r="H290" t="n">
        <v>0</v>
      </c>
      <c r="I290" t="n">
        <v>0</v>
      </c>
      <c r="J290" t="n">
        <v>0</v>
      </c>
      <c r="K290" t="n">
        <v>0</v>
      </c>
      <c r="L290" t="n">
        <v>0</v>
      </c>
      <c r="M290" t="n">
        <v>0</v>
      </c>
      <c r="N290" t="n">
        <v>0</v>
      </c>
      <c r="O290" t="n">
        <v>0</v>
      </c>
      <c r="P290" t="n">
        <v>0</v>
      </c>
      <c r="Q290" t="n">
        <v>0</v>
      </c>
      <c r="R290" s="2" t="inlineStr"/>
    </row>
    <row r="291" ht="15" customHeight="1">
      <c r="A291" t="inlineStr">
        <is>
          <t>A 39818-2022</t>
        </is>
      </c>
      <c r="B291" s="1" t="n">
        <v>44819</v>
      </c>
      <c r="C291" s="1" t="n">
        <v>45729</v>
      </c>
      <c r="D291" t="inlineStr">
        <is>
          <t>DALARNAS LÄN</t>
        </is>
      </c>
      <c r="E291" t="inlineStr">
        <is>
          <t>ORSA</t>
        </is>
      </c>
      <c r="F291" t="inlineStr">
        <is>
          <t>Allmännings- och besparingsskogar</t>
        </is>
      </c>
      <c r="G291" t="n">
        <v>9.6</v>
      </c>
      <c r="H291" t="n">
        <v>0</v>
      </c>
      <c r="I291" t="n">
        <v>0</v>
      </c>
      <c r="J291" t="n">
        <v>0</v>
      </c>
      <c r="K291" t="n">
        <v>0</v>
      </c>
      <c r="L291" t="n">
        <v>0</v>
      </c>
      <c r="M291" t="n">
        <v>0</v>
      </c>
      <c r="N291" t="n">
        <v>0</v>
      </c>
      <c r="O291" t="n">
        <v>0</v>
      </c>
      <c r="P291" t="n">
        <v>0</v>
      </c>
      <c r="Q291" t="n">
        <v>0</v>
      </c>
      <c r="R291" s="2" t="inlineStr"/>
    </row>
    <row r="292" ht="15" customHeight="1">
      <c r="A292" t="inlineStr">
        <is>
          <t>A 39816-2022</t>
        </is>
      </c>
      <c r="B292" s="1" t="n">
        <v>44819</v>
      </c>
      <c r="C292" s="1" t="n">
        <v>45729</v>
      </c>
      <c r="D292" t="inlineStr">
        <is>
          <t>DALARNAS LÄN</t>
        </is>
      </c>
      <c r="E292" t="inlineStr">
        <is>
          <t>ORSA</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39893-2022</t>
        </is>
      </c>
      <c r="B293" s="1" t="n">
        <v>44819</v>
      </c>
      <c r="C293" s="1" t="n">
        <v>45729</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40945-2022</t>
        </is>
      </c>
      <c r="B294" s="1" t="n">
        <v>44825</v>
      </c>
      <c r="C294" s="1" t="n">
        <v>45729</v>
      </c>
      <c r="D294" t="inlineStr">
        <is>
          <t>DALARNAS LÄN</t>
        </is>
      </c>
      <c r="E294" t="inlineStr">
        <is>
          <t>ORSA</t>
        </is>
      </c>
      <c r="F294" t="inlineStr">
        <is>
          <t>Allmännings- och besparingsskogar</t>
        </is>
      </c>
      <c r="G294" t="n">
        <v>8.9</v>
      </c>
      <c r="H294" t="n">
        <v>0</v>
      </c>
      <c r="I294" t="n">
        <v>0</v>
      </c>
      <c r="J294" t="n">
        <v>0</v>
      </c>
      <c r="K294" t="n">
        <v>0</v>
      </c>
      <c r="L294" t="n">
        <v>0</v>
      </c>
      <c r="M294" t="n">
        <v>0</v>
      </c>
      <c r="N294" t="n">
        <v>0</v>
      </c>
      <c r="O294" t="n">
        <v>0</v>
      </c>
      <c r="P294" t="n">
        <v>0</v>
      </c>
      <c r="Q294" t="n">
        <v>0</v>
      </c>
      <c r="R294" s="2" t="inlineStr"/>
    </row>
    <row r="295" ht="15" customHeight="1">
      <c r="A295" t="inlineStr">
        <is>
          <t>A 42346-2022</t>
        </is>
      </c>
      <c r="B295" s="1" t="n">
        <v>44831</v>
      </c>
      <c r="C295" s="1" t="n">
        <v>45729</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44035-2022</t>
        </is>
      </c>
      <c r="B296" s="1" t="n">
        <v>44839</v>
      </c>
      <c r="C296" s="1" t="n">
        <v>45729</v>
      </c>
      <c r="D296" t="inlineStr">
        <is>
          <t>DALARNAS LÄN</t>
        </is>
      </c>
      <c r="E296" t="inlineStr">
        <is>
          <t>ORSA</t>
        </is>
      </c>
      <c r="G296" t="n">
        <v>5.8</v>
      </c>
      <c r="H296" t="n">
        <v>0</v>
      </c>
      <c r="I296" t="n">
        <v>0</v>
      </c>
      <c r="J296" t="n">
        <v>0</v>
      </c>
      <c r="K296" t="n">
        <v>0</v>
      </c>
      <c r="L296" t="n">
        <v>0</v>
      </c>
      <c r="M296" t="n">
        <v>0</v>
      </c>
      <c r="N296" t="n">
        <v>0</v>
      </c>
      <c r="O296" t="n">
        <v>0</v>
      </c>
      <c r="P296" t="n">
        <v>0</v>
      </c>
      <c r="Q296" t="n">
        <v>0</v>
      </c>
      <c r="R296" s="2" t="inlineStr"/>
    </row>
    <row r="297" ht="15" customHeight="1">
      <c r="A297" t="inlineStr">
        <is>
          <t>A 44033-2022</t>
        </is>
      </c>
      <c r="B297" s="1" t="n">
        <v>44838</v>
      </c>
      <c r="C297" s="1" t="n">
        <v>45729</v>
      </c>
      <c r="D297" t="inlineStr">
        <is>
          <t>DALARNAS LÄN</t>
        </is>
      </c>
      <c r="E297" t="inlineStr">
        <is>
          <t>ORSA</t>
        </is>
      </c>
      <c r="G297" t="n">
        <v>5.3</v>
      </c>
      <c r="H297" t="n">
        <v>0</v>
      </c>
      <c r="I297" t="n">
        <v>0</v>
      </c>
      <c r="J297" t="n">
        <v>0</v>
      </c>
      <c r="K297" t="n">
        <v>0</v>
      </c>
      <c r="L297" t="n">
        <v>0</v>
      </c>
      <c r="M297" t="n">
        <v>0</v>
      </c>
      <c r="N297" t="n">
        <v>0</v>
      </c>
      <c r="O297" t="n">
        <v>0</v>
      </c>
      <c r="P297" t="n">
        <v>0</v>
      </c>
      <c r="Q297" t="n">
        <v>0</v>
      </c>
      <c r="R297" s="2" t="inlineStr"/>
    </row>
    <row r="298" ht="15" customHeight="1">
      <c r="A298" t="inlineStr">
        <is>
          <t>A 44257-2022</t>
        </is>
      </c>
      <c r="B298" s="1" t="n">
        <v>44839</v>
      </c>
      <c r="C298" s="1" t="n">
        <v>45729</v>
      </c>
      <c r="D298" t="inlineStr">
        <is>
          <t>DALARNAS LÄN</t>
        </is>
      </c>
      <c r="E298" t="inlineStr">
        <is>
          <t>ORSA</t>
        </is>
      </c>
      <c r="G298" t="n">
        <v>13.1</v>
      </c>
      <c r="H298" t="n">
        <v>0</v>
      </c>
      <c r="I298" t="n">
        <v>0</v>
      </c>
      <c r="J298" t="n">
        <v>0</v>
      </c>
      <c r="K298" t="n">
        <v>0</v>
      </c>
      <c r="L298" t="n">
        <v>0</v>
      </c>
      <c r="M298" t="n">
        <v>0</v>
      </c>
      <c r="N298" t="n">
        <v>0</v>
      </c>
      <c r="O298" t="n">
        <v>0</v>
      </c>
      <c r="P298" t="n">
        <v>0</v>
      </c>
      <c r="Q298" t="n">
        <v>0</v>
      </c>
      <c r="R298" s="2" t="inlineStr"/>
    </row>
    <row r="299" ht="15" customHeight="1">
      <c r="A299" t="inlineStr">
        <is>
          <t>A 45272-2022</t>
        </is>
      </c>
      <c r="B299" s="1" t="n">
        <v>44844</v>
      </c>
      <c r="C299" s="1" t="n">
        <v>45729</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46244-2022</t>
        </is>
      </c>
      <c r="B300" s="1" t="n">
        <v>44847</v>
      </c>
      <c r="C300" s="1" t="n">
        <v>45729</v>
      </c>
      <c r="D300" t="inlineStr">
        <is>
          <t>DALARNAS LÄN</t>
        </is>
      </c>
      <c r="E300" t="inlineStr">
        <is>
          <t>ORSA</t>
        </is>
      </c>
      <c r="F300" t="inlineStr">
        <is>
          <t>Bergvik skog öst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47135-2022</t>
        </is>
      </c>
      <c r="B301" s="1" t="n">
        <v>44852</v>
      </c>
      <c r="C301" s="1" t="n">
        <v>45729</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47707-2022</t>
        </is>
      </c>
      <c r="B302" s="1" t="n">
        <v>44854</v>
      </c>
      <c r="C302" s="1" t="n">
        <v>45729</v>
      </c>
      <c r="D302" t="inlineStr">
        <is>
          <t>DALARNAS LÄN</t>
        </is>
      </c>
      <c r="E302" t="inlineStr">
        <is>
          <t>ORSA</t>
        </is>
      </c>
      <c r="F302" t="inlineStr">
        <is>
          <t>Bergvik skog öst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47740-2022</t>
        </is>
      </c>
      <c r="B303" s="1" t="n">
        <v>44854</v>
      </c>
      <c r="C303" s="1" t="n">
        <v>45729</v>
      </c>
      <c r="D303" t="inlineStr">
        <is>
          <t>DALARNAS LÄN</t>
        </is>
      </c>
      <c r="E303" t="inlineStr">
        <is>
          <t>ORSA</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47735-2022</t>
        </is>
      </c>
      <c r="B304" s="1" t="n">
        <v>44854</v>
      </c>
      <c r="C304" s="1" t="n">
        <v>45729</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v>
      </c>
      <c r="C305" s="1" t="n">
        <v>45729</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47746-2022</t>
        </is>
      </c>
      <c r="B306" s="1" t="n">
        <v>44854</v>
      </c>
      <c r="C306" s="1" t="n">
        <v>45729</v>
      </c>
      <c r="D306" t="inlineStr">
        <is>
          <t>DALARNAS LÄN</t>
        </is>
      </c>
      <c r="E306" t="inlineStr">
        <is>
          <t>ORSA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47742-2022</t>
        </is>
      </c>
      <c r="B307" s="1" t="n">
        <v>44854</v>
      </c>
      <c r="C307" s="1" t="n">
        <v>45729</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48131-2022</t>
        </is>
      </c>
      <c r="B308" s="1" t="n">
        <v>44857</v>
      </c>
      <c r="C308" s="1" t="n">
        <v>45729</v>
      </c>
      <c r="D308" t="inlineStr">
        <is>
          <t>DALARNAS LÄN</t>
        </is>
      </c>
      <c r="E308" t="inlineStr">
        <is>
          <t>ORSA</t>
        </is>
      </c>
      <c r="F308" t="inlineStr">
        <is>
          <t>Bergvik skog öst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48132-2022</t>
        </is>
      </c>
      <c r="B309" s="1" t="n">
        <v>44857</v>
      </c>
      <c r="C309" s="1" t="n">
        <v>45729</v>
      </c>
      <c r="D309" t="inlineStr">
        <is>
          <t>DALARNAS LÄN</t>
        </is>
      </c>
      <c r="E309" t="inlineStr">
        <is>
          <t>ORSA</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48213-2022</t>
        </is>
      </c>
      <c r="B310" s="1" t="n">
        <v>44858</v>
      </c>
      <c r="C310" s="1" t="n">
        <v>45729</v>
      </c>
      <c r="D310" t="inlineStr">
        <is>
          <t>DALARNAS LÄN</t>
        </is>
      </c>
      <c r="E310" t="inlineStr">
        <is>
          <t>ORSA</t>
        </is>
      </c>
      <c r="F310" t="inlineStr">
        <is>
          <t>Allmännings- och besparingsskogar</t>
        </is>
      </c>
      <c r="G310" t="n">
        <v>4.1</v>
      </c>
      <c r="H310" t="n">
        <v>0</v>
      </c>
      <c r="I310" t="n">
        <v>0</v>
      </c>
      <c r="J310" t="n">
        <v>0</v>
      </c>
      <c r="K310" t="n">
        <v>0</v>
      </c>
      <c r="L310" t="n">
        <v>0</v>
      </c>
      <c r="M310" t="n">
        <v>0</v>
      </c>
      <c r="N310" t="n">
        <v>0</v>
      </c>
      <c r="O310" t="n">
        <v>0</v>
      </c>
      <c r="P310" t="n">
        <v>0</v>
      </c>
      <c r="Q310" t="n">
        <v>0</v>
      </c>
      <c r="R310" s="2" t="inlineStr"/>
    </row>
    <row r="311" ht="15" customHeight="1">
      <c r="A311" t="inlineStr">
        <is>
          <t>A 48696-2022</t>
        </is>
      </c>
      <c r="B311" s="1" t="n">
        <v>44859</v>
      </c>
      <c r="C311" s="1" t="n">
        <v>45729</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50454-2022</t>
        </is>
      </c>
      <c r="B312" s="1" t="n">
        <v>44866</v>
      </c>
      <c r="C312" s="1" t="n">
        <v>45729</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50474-2022</t>
        </is>
      </c>
      <c r="B313" s="1" t="n">
        <v>44866</v>
      </c>
      <c r="C313" s="1" t="n">
        <v>45729</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51395-2022</t>
        </is>
      </c>
      <c r="B314" s="1" t="n">
        <v>44869</v>
      </c>
      <c r="C314" s="1" t="n">
        <v>45729</v>
      </c>
      <c r="D314" t="inlineStr">
        <is>
          <t>DALARNAS LÄN</t>
        </is>
      </c>
      <c r="E314" t="inlineStr">
        <is>
          <t>ORSA</t>
        </is>
      </c>
      <c r="F314" t="inlineStr">
        <is>
          <t>Kyrkan</t>
        </is>
      </c>
      <c r="G314" t="n">
        <v>11.8</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v>
      </c>
      <c r="C315" s="1" t="n">
        <v>45729</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51864-2022</t>
        </is>
      </c>
      <c r="B316" s="1" t="n">
        <v>44872</v>
      </c>
      <c r="C316" s="1" t="n">
        <v>45729</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52579-2022</t>
        </is>
      </c>
      <c r="B317" s="1" t="n">
        <v>44874</v>
      </c>
      <c r="C317" s="1" t="n">
        <v>45729</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52776-2022</t>
        </is>
      </c>
      <c r="B318" s="1" t="n">
        <v>44875</v>
      </c>
      <c r="C318" s="1" t="n">
        <v>45729</v>
      </c>
      <c r="D318" t="inlineStr">
        <is>
          <t>DALARNAS LÄN</t>
        </is>
      </c>
      <c r="E318" t="inlineStr">
        <is>
          <t>ORSA</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53693-2022</t>
        </is>
      </c>
      <c r="B319" s="1" t="n">
        <v>44880</v>
      </c>
      <c r="C319" s="1" t="n">
        <v>45729</v>
      </c>
      <c r="D319" t="inlineStr">
        <is>
          <t>DALARNAS LÄN</t>
        </is>
      </c>
      <c r="E319" t="inlineStr">
        <is>
          <t>ORSA</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53704-2022</t>
        </is>
      </c>
      <c r="B320" s="1" t="n">
        <v>44880</v>
      </c>
      <c r="C320" s="1" t="n">
        <v>45729</v>
      </c>
      <c r="D320" t="inlineStr">
        <is>
          <t>DALARNAS LÄN</t>
        </is>
      </c>
      <c r="E320" t="inlineStr">
        <is>
          <t>ORSA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53709-2022</t>
        </is>
      </c>
      <c r="B321" s="1" t="n">
        <v>44880</v>
      </c>
      <c r="C321" s="1" t="n">
        <v>45729</v>
      </c>
      <c r="D321" t="inlineStr">
        <is>
          <t>DALARNAS LÄN</t>
        </is>
      </c>
      <c r="E321" t="inlineStr">
        <is>
          <t>ORSA</t>
        </is>
      </c>
      <c r="F321" t="inlineStr">
        <is>
          <t>Allmännings- och besparingsskogar</t>
        </is>
      </c>
      <c r="G321" t="n">
        <v>3.3</v>
      </c>
      <c r="H321" t="n">
        <v>0</v>
      </c>
      <c r="I321" t="n">
        <v>0</v>
      </c>
      <c r="J321" t="n">
        <v>0</v>
      </c>
      <c r="K321" t="n">
        <v>0</v>
      </c>
      <c r="L321" t="n">
        <v>0</v>
      </c>
      <c r="M321" t="n">
        <v>0</v>
      </c>
      <c r="N321" t="n">
        <v>0</v>
      </c>
      <c r="O321" t="n">
        <v>0</v>
      </c>
      <c r="P321" t="n">
        <v>0</v>
      </c>
      <c r="Q321" t="n">
        <v>0</v>
      </c>
      <c r="R321" s="2" t="inlineStr"/>
    </row>
    <row r="322" ht="15" customHeight="1">
      <c r="A322" t="inlineStr">
        <is>
          <t>A 53831-2022</t>
        </is>
      </c>
      <c r="B322" s="1" t="n">
        <v>44880</v>
      </c>
      <c r="C322" s="1" t="n">
        <v>45729</v>
      </c>
      <c r="D322" t="inlineStr">
        <is>
          <t>DALARNAS LÄN</t>
        </is>
      </c>
      <c r="E322" t="inlineStr">
        <is>
          <t>ORSA</t>
        </is>
      </c>
      <c r="F322" t="inlineStr">
        <is>
          <t>Allmännings- och besparingsskogar</t>
        </is>
      </c>
      <c r="G322" t="n">
        <v>14.6</v>
      </c>
      <c r="H322" t="n">
        <v>0</v>
      </c>
      <c r="I322" t="n">
        <v>0</v>
      </c>
      <c r="J322" t="n">
        <v>0</v>
      </c>
      <c r="K322" t="n">
        <v>0</v>
      </c>
      <c r="L322" t="n">
        <v>0</v>
      </c>
      <c r="M322" t="n">
        <v>0</v>
      </c>
      <c r="N322" t="n">
        <v>0</v>
      </c>
      <c r="O322" t="n">
        <v>0</v>
      </c>
      <c r="P322" t="n">
        <v>0</v>
      </c>
      <c r="Q322" t="n">
        <v>0</v>
      </c>
      <c r="R322" s="2" t="inlineStr"/>
    </row>
    <row r="323" ht="15" customHeight="1">
      <c r="A323" t="inlineStr">
        <is>
          <t>A 55338-2022</t>
        </is>
      </c>
      <c r="B323" s="1" t="n">
        <v>44887</v>
      </c>
      <c r="C323" s="1" t="n">
        <v>45729</v>
      </c>
      <c r="D323" t="inlineStr">
        <is>
          <t>DALARNAS LÄN</t>
        </is>
      </c>
      <c r="E323" t="inlineStr">
        <is>
          <t>ORSA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55691-2022</t>
        </is>
      </c>
      <c r="B324" s="1" t="n">
        <v>44888</v>
      </c>
      <c r="C324" s="1" t="n">
        <v>45729</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56587-2022</t>
        </is>
      </c>
      <c r="B325" s="1" t="n">
        <v>44893</v>
      </c>
      <c r="C325" s="1" t="n">
        <v>45729</v>
      </c>
      <c r="D325" t="inlineStr">
        <is>
          <t>DALARNAS LÄN</t>
        </is>
      </c>
      <c r="E325" t="inlineStr">
        <is>
          <t>ORSA</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56632-2022</t>
        </is>
      </c>
      <c r="B326" s="1" t="n">
        <v>44893</v>
      </c>
      <c r="C326" s="1" t="n">
        <v>45729</v>
      </c>
      <c r="D326" t="inlineStr">
        <is>
          <t>DALARNAS LÄN</t>
        </is>
      </c>
      <c r="E326" t="inlineStr">
        <is>
          <t>ORSA</t>
        </is>
      </c>
      <c r="G326" t="n">
        <v>6.7</v>
      </c>
      <c r="H326" t="n">
        <v>0</v>
      </c>
      <c r="I326" t="n">
        <v>0</v>
      </c>
      <c r="J326" t="n">
        <v>0</v>
      </c>
      <c r="K326" t="n">
        <v>0</v>
      </c>
      <c r="L326" t="n">
        <v>0</v>
      </c>
      <c r="M326" t="n">
        <v>0</v>
      </c>
      <c r="N326" t="n">
        <v>0</v>
      </c>
      <c r="O326" t="n">
        <v>0</v>
      </c>
      <c r="P326" t="n">
        <v>0</v>
      </c>
      <c r="Q326" t="n">
        <v>0</v>
      </c>
      <c r="R326" s="2" t="inlineStr"/>
    </row>
    <row r="327" ht="15" customHeight="1">
      <c r="A327" t="inlineStr">
        <is>
          <t>A 56578-2022</t>
        </is>
      </c>
      <c r="B327" s="1" t="n">
        <v>44893</v>
      </c>
      <c r="C327" s="1" t="n">
        <v>45729</v>
      </c>
      <c r="D327" t="inlineStr">
        <is>
          <t>DALARNAS LÄN</t>
        </is>
      </c>
      <c r="E327" t="inlineStr">
        <is>
          <t>ORSA</t>
        </is>
      </c>
      <c r="F327" t="inlineStr">
        <is>
          <t>Allmännings- och besparingsskogar</t>
        </is>
      </c>
      <c r="G327" t="n">
        <v>2.3</v>
      </c>
      <c r="H327" t="n">
        <v>0</v>
      </c>
      <c r="I327" t="n">
        <v>0</v>
      </c>
      <c r="J327" t="n">
        <v>0</v>
      </c>
      <c r="K327" t="n">
        <v>0</v>
      </c>
      <c r="L327" t="n">
        <v>0</v>
      </c>
      <c r="M327" t="n">
        <v>0</v>
      </c>
      <c r="N327" t="n">
        <v>0</v>
      </c>
      <c r="O327" t="n">
        <v>0</v>
      </c>
      <c r="P327" t="n">
        <v>0</v>
      </c>
      <c r="Q327" t="n">
        <v>0</v>
      </c>
      <c r="R327" s="2" t="inlineStr"/>
    </row>
    <row r="328" ht="15" customHeight="1">
      <c r="A328" t="inlineStr">
        <is>
          <t>A 57552-2022</t>
        </is>
      </c>
      <c r="B328" s="1" t="n">
        <v>44896</v>
      </c>
      <c r="C328" s="1" t="n">
        <v>45729</v>
      </c>
      <c r="D328" t="inlineStr">
        <is>
          <t>DALARNAS LÄN</t>
        </is>
      </c>
      <c r="E328" t="inlineStr">
        <is>
          <t>ORSA</t>
        </is>
      </c>
      <c r="F328" t="inlineStr">
        <is>
          <t>Bergvik skog öst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57533-2022</t>
        </is>
      </c>
      <c r="B329" s="1" t="n">
        <v>44896</v>
      </c>
      <c r="C329" s="1" t="n">
        <v>45729</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58068-2022</t>
        </is>
      </c>
      <c r="B330" s="1" t="n">
        <v>44900</v>
      </c>
      <c r="C330" s="1" t="n">
        <v>45729</v>
      </c>
      <c r="D330" t="inlineStr">
        <is>
          <t>DALARNAS LÄN</t>
        </is>
      </c>
      <c r="E330" t="inlineStr">
        <is>
          <t>ORSA</t>
        </is>
      </c>
      <c r="F330" t="inlineStr">
        <is>
          <t>Bergvik skog öst AB</t>
        </is>
      </c>
      <c r="G330" t="n">
        <v>10.6</v>
      </c>
      <c r="H330" t="n">
        <v>0</v>
      </c>
      <c r="I330" t="n">
        <v>0</v>
      </c>
      <c r="J330" t="n">
        <v>0</v>
      </c>
      <c r="K330" t="n">
        <v>0</v>
      </c>
      <c r="L330" t="n">
        <v>0</v>
      </c>
      <c r="M330" t="n">
        <v>0</v>
      </c>
      <c r="N330" t="n">
        <v>0</v>
      </c>
      <c r="O330" t="n">
        <v>0</v>
      </c>
      <c r="P330" t="n">
        <v>0</v>
      </c>
      <c r="Q330" t="n">
        <v>0</v>
      </c>
      <c r="R330" s="2" t="inlineStr"/>
    </row>
    <row r="331" ht="15" customHeight="1">
      <c r="A331" t="inlineStr">
        <is>
          <t>A 58853-2022</t>
        </is>
      </c>
      <c r="B331" s="1" t="n">
        <v>44903</v>
      </c>
      <c r="C331" s="1" t="n">
        <v>45729</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58851-2022</t>
        </is>
      </c>
      <c r="B332" s="1" t="n">
        <v>44903</v>
      </c>
      <c r="C332" s="1" t="n">
        <v>45729</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58846-2022</t>
        </is>
      </c>
      <c r="B333" s="1" t="n">
        <v>44903</v>
      </c>
      <c r="C333" s="1" t="n">
        <v>45729</v>
      </c>
      <c r="D333" t="inlineStr">
        <is>
          <t>DALARNAS LÄN</t>
        </is>
      </c>
      <c r="E333" t="inlineStr">
        <is>
          <t>ORSA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59442-2022</t>
        </is>
      </c>
      <c r="B334" s="1" t="n">
        <v>44907</v>
      </c>
      <c r="C334" s="1" t="n">
        <v>45729</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59462-2022</t>
        </is>
      </c>
      <c r="B335" s="1" t="n">
        <v>44907</v>
      </c>
      <c r="C335" s="1" t="n">
        <v>45729</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59737-2022</t>
        </is>
      </c>
      <c r="B336" s="1" t="n">
        <v>44908</v>
      </c>
      <c r="C336" s="1" t="n">
        <v>45729</v>
      </c>
      <c r="D336" t="inlineStr">
        <is>
          <t>DALARNAS LÄN</t>
        </is>
      </c>
      <c r="E336" t="inlineStr">
        <is>
          <t>ORSA</t>
        </is>
      </c>
      <c r="G336" t="n">
        <v>3.5</v>
      </c>
      <c r="H336" t="n">
        <v>0</v>
      </c>
      <c r="I336" t="n">
        <v>0</v>
      </c>
      <c r="J336" t="n">
        <v>0</v>
      </c>
      <c r="K336" t="n">
        <v>0</v>
      </c>
      <c r="L336" t="n">
        <v>0</v>
      </c>
      <c r="M336" t="n">
        <v>0</v>
      </c>
      <c r="N336" t="n">
        <v>0</v>
      </c>
      <c r="O336" t="n">
        <v>0</v>
      </c>
      <c r="P336" t="n">
        <v>0</v>
      </c>
      <c r="Q336" t="n">
        <v>0</v>
      </c>
      <c r="R336" s="2" t="inlineStr"/>
    </row>
    <row r="337" ht="15" customHeight="1">
      <c r="A337" t="inlineStr">
        <is>
          <t>A 59944-2022</t>
        </is>
      </c>
      <c r="B337" s="1" t="n">
        <v>44909</v>
      </c>
      <c r="C337" s="1" t="n">
        <v>45729</v>
      </c>
      <c r="D337" t="inlineStr">
        <is>
          <t>DALARNAS LÄN</t>
        </is>
      </c>
      <c r="E337" t="inlineStr">
        <is>
          <t>ORSA</t>
        </is>
      </c>
      <c r="F337" t="inlineStr">
        <is>
          <t>Allmännings- och besparingsskogar</t>
        </is>
      </c>
      <c r="G337" t="n">
        <v>5</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v>
      </c>
      <c r="C338" s="1" t="n">
        <v>45729</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60803-2022</t>
        </is>
      </c>
      <c r="B339" s="1" t="n">
        <v>44914</v>
      </c>
      <c r="C339" s="1" t="n">
        <v>45729</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61118-2022</t>
        </is>
      </c>
      <c r="B340" s="1" t="n">
        <v>44915</v>
      </c>
      <c r="C340" s="1" t="n">
        <v>45729</v>
      </c>
      <c r="D340" t="inlineStr">
        <is>
          <t>DALARNAS LÄN</t>
        </is>
      </c>
      <c r="E340" t="inlineStr">
        <is>
          <t>ORSA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61698-2022</t>
        </is>
      </c>
      <c r="B341" s="1" t="n">
        <v>44917</v>
      </c>
      <c r="C341" s="1" t="n">
        <v>45729</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61699-2022</t>
        </is>
      </c>
      <c r="B342" s="1" t="n">
        <v>44917</v>
      </c>
      <c r="C342" s="1" t="n">
        <v>45729</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61865-2022</t>
        </is>
      </c>
      <c r="B343" s="1" t="n">
        <v>44917</v>
      </c>
      <c r="C343" s="1" t="n">
        <v>45729</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159-2023</t>
        </is>
      </c>
      <c r="B344" s="1" t="n">
        <v>44928</v>
      </c>
      <c r="C344" s="1" t="n">
        <v>45729</v>
      </c>
      <c r="D344" t="inlineStr">
        <is>
          <t>DALARNAS LÄN</t>
        </is>
      </c>
      <c r="E344" t="inlineStr">
        <is>
          <t>ORSA</t>
        </is>
      </c>
      <c r="F344" t="inlineStr">
        <is>
          <t>Kyrkan</t>
        </is>
      </c>
      <c r="G344" t="n">
        <v>5.8</v>
      </c>
      <c r="H344" t="n">
        <v>0</v>
      </c>
      <c r="I344" t="n">
        <v>0</v>
      </c>
      <c r="J344" t="n">
        <v>0</v>
      </c>
      <c r="K344" t="n">
        <v>0</v>
      </c>
      <c r="L344" t="n">
        <v>0</v>
      </c>
      <c r="M344" t="n">
        <v>0</v>
      </c>
      <c r="N344" t="n">
        <v>0</v>
      </c>
      <c r="O344" t="n">
        <v>0</v>
      </c>
      <c r="P344" t="n">
        <v>0</v>
      </c>
      <c r="Q344" t="n">
        <v>0</v>
      </c>
      <c r="R344" s="2" t="inlineStr"/>
    </row>
    <row r="345" ht="15" customHeight="1">
      <c r="A345" t="inlineStr">
        <is>
          <t>A 162-2023</t>
        </is>
      </c>
      <c r="B345" s="1" t="n">
        <v>44928</v>
      </c>
      <c r="C345" s="1" t="n">
        <v>45729</v>
      </c>
      <c r="D345" t="inlineStr">
        <is>
          <t>DALARNAS LÄN</t>
        </is>
      </c>
      <c r="E345" t="inlineStr">
        <is>
          <t>ORSA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160-2023</t>
        </is>
      </c>
      <c r="B346" s="1" t="n">
        <v>44928</v>
      </c>
      <c r="C346" s="1" t="n">
        <v>45729</v>
      </c>
      <c r="D346" t="inlineStr">
        <is>
          <t>DALARNAS LÄN</t>
        </is>
      </c>
      <c r="E346" t="inlineStr">
        <is>
          <t>ORSA</t>
        </is>
      </c>
      <c r="F346" t="inlineStr">
        <is>
          <t>Kyrkan</t>
        </is>
      </c>
      <c r="G346" t="n">
        <v>3.4</v>
      </c>
      <c r="H346" t="n">
        <v>0</v>
      </c>
      <c r="I346" t="n">
        <v>0</v>
      </c>
      <c r="J346" t="n">
        <v>0</v>
      </c>
      <c r="K346" t="n">
        <v>0</v>
      </c>
      <c r="L346" t="n">
        <v>0</v>
      </c>
      <c r="M346" t="n">
        <v>0</v>
      </c>
      <c r="N346" t="n">
        <v>0</v>
      </c>
      <c r="O346" t="n">
        <v>0</v>
      </c>
      <c r="P346" t="n">
        <v>0</v>
      </c>
      <c r="Q346" t="n">
        <v>0</v>
      </c>
      <c r="R346" s="2" t="inlineStr"/>
    </row>
    <row r="347" ht="15" customHeight="1">
      <c r="A347" t="inlineStr">
        <is>
          <t>A 2044-2023</t>
        </is>
      </c>
      <c r="B347" s="1" t="n">
        <v>44939</v>
      </c>
      <c r="C347" s="1" t="n">
        <v>45729</v>
      </c>
      <c r="D347" t="inlineStr">
        <is>
          <t>DALARNAS LÄN</t>
        </is>
      </c>
      <c r="E347" t="inlineStr">
        <is>
          <t>ORSA</t>
        </is>
      </c>
      <c r="G347" t="n">
        <v>4.1</v>
      </c>
      <c r="H347" t="n">
        <v>0</v>
      </c>
      <c r="I347" t="n">
        <v>0</v>
      </c>
      <c r="J347" t="n">
        <v>0</v>
      </c>
      <c r="K347" t="n">
        <v>0</v>
      </c>
      <c r="L347" t="n">
        <v>0</v>
      </c>
      <c r="M347" t="n">
        <v>0</v>
      </c>
      <c r="N347" t="n">
        <v>0</v>
      </c>
      <c r="O347" t="n">
        <v>0</v>
      </c>
      <c r="P347" t="n">
        <v>0</v>
      </c>
      <c r="Q347" t="n">
        <v>0</v>
      </c>
      <c r="R347" s="2" t="inlineStr"/>
    </row>
    <row r="348" ht="15" customHeight="1">
      <c r="A348" t="inlineStr">
        <is>
          <t>A 2228-2023</t>
        </is>
      </c>
      <c r="B348" s="1" t="n">
        <v>44942</v>
      </c>
      <c r="C348" s="1" t="n">
        <v>45729</v>
      </c>
      <c r="D348" t="inlineStr">
        <is>
          <t>DALARNAS LÄN</t>
        </is>
      </c>
      <c r="E348" t="inlineStr">
        <is>
          <t>ORSA</t>
        </is>
      </c>
      <c r="G348" t="n">
        <v>6.4</v>
      </c>
      <c r="H348" t="n">
        <v>0</v>
      </c>
      <c r="I348" t="n">
        <v>0</v>
      </c>
      <c r="J348" t="n">
        <v>0</v>
      </c>
      <c r="K348" t="n">
        <v>0</v>
      </c>
      <c r="L348" t="n">
        <v>0</v>
      </c>
      <c r="M348" t="n">
        <v>0</v>
      </c>
      <c r="N348" t="n">
        <v>0</v>
      </c>
      <c r="O348" t="n">
        <v>0</v>
      </c>
      <c r="P348" t="n">
        <v>0</v>
      </c>
      <c r="Q348" t="n">
        <v>0</v>
      </c>
      <c r="R348" s="2" t="inlineStr"/>
    </row>
    <row r="349" ht="15" customHeight="1">
      <c r="A349" t="inlineStr">
        <is>
          <t>A 3318-2023</t>
        </is>
      </c>
      <c r="B349" s="1" t="n">
        <v>44949</v>
      </c>
      <c r="C349" s="1" t="n">
        <v>45729</v>
      </c>
      <c r="D349" t="inlineStr">
        <is>
          <t>DALARNAS LÄN</t>
        </is>
      </c>
      <c r="E349" t="inlineStr">
        <is>
          <t>ORSA</t>
        </is>
      </c>
      <c r="G349" t="n">
        <v>4.4</v>
      </c>
      <c r="H349" t="n">
        <v>0</v>
      </c>
      <c r="I349" t="n">
        <v>0</v>
      </c>
      <c r="J349" t="n">
        <v>0</v>
      </c>
      <c r="K349" t="n">
        <v>0</v>
      </c>
      <c r="L349" t="n">
        <v>0</v>
      </c>
      <c r="M349" t="n">
        <v>0</v>
      </c>
      <c r="N349" t="n">
        <v>0</v>
      </c>
      <c r="O349" t="n">
        <v>0</v>
      </c>
      <c r="P349" t="n">
        <v>0</v>
      </c>
      <c r="Q349" t="n">
        <v>0</v>
      </c>
      <c r="R349" s="2" t="inlineStr"/>
    </row>
    <row r="350" ht="15" customHeight="1">
      <c r="A350" t="inlineStr">
        <is>
          <t>A 3320-2023</t>
        </is>
      </c>
      <c r="B350" s="1" t="n">
        <v>44949</v>
      </c>
      <c r="C350" s="1" t="n">
        <v>45729</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3720-2023</t>
        </is>
      </c>
      <c r="B351" s="1" t="n">
        <v>44951</v>
      </c>
      <c r="C351" s="1" t="n">
        <v>45729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v>
      </c>
      <c r="C352" s="1" t="n">
        <v>45729</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45729</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7814-2023</t>
        </is>
      </c>
      <c r="B354" s="1" t="n">
        <v>44973</v>
      </c>
      <c r="C354" s="1" t="n">
        <v>45729</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7878-2023</t>
        </is>
      </c>
      <c r="B355" s="1" t="n">
        <v>44973</v>
      </c>
      <c r="C355" s="1" t="n">
        <v>45729</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9466-2023</t>
        </is>
      </c>
      <c r="B356" s="1" t="n">
        <v>44981</v>
      </c>
      <c r="C356" s="1" t="n">
        <v>45729</v>
      </c>
      <c r="D356" t="inlineStr">
        <is>
          <t>DALARNAS LÄN</t>
        </is>
      </c>
      <c r="E356" t="inlineStr">
        <is>
          <t>ORSA</t>
        </is>
      </c>
      <c r="F356" t="inlineStr">
        <is>
          <t>Bergvik skog väst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10004-2023</t>
        </is>
      </c>
      <c r="B357" s="1" t="n">
        <v>44985</v>
      </c>
      <c r="C357" s="1" t="n">
        <v>45729</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10048-2023</t>
        </is>
      </c>
      <c r="B358" s="1" t="n">
        <v>44985</v>
      </c>
      <c r="C358" s="1" t="n">
        <v>45729</v>
      </c>
      <c r="D358" t="inlineStr">
        <is>
          <t>DALARNAS LÄN</t>
        </is>
      </c>
      <c r="E358" t="inlineStr">
        <is>
          <t>ORSA</t>
        </is>
      </c>
      <c r="G358" t="n">
        <v>4.8</v>
      </c>
      <c r="H358" t="n">
        <v>0</v>
      </c>
      <c r="I358" t="n">
        <v>0</v>
      </c>
      <c r="J358" t="n">
        <v>0</v>
      </c>
      <c r="K358" t="n">
        <v>0</v>
      </c>
      <c r="L358" t="n">
        <v>0</v>
      </c>
      <c r="M358" t="n">
        <v>0</v>
      </c>
      <c r="N358" t="n">
        <v>0</v>
      </c>
      <c r="O358" t="n">
        <v>0</v>
      </c>
      <c r="P358" t="n">
        <v>0</v>
      </c>
      <c r="Q358" t="n">
        <v>0</v>
      </c>
      <c r="R358" s="2" t="inlineStr"/>
    </row>
    <row r="359" ht="15" customHeight="1">
      <c r="A359" t="inlineStr">
        <is>
          <t>A 10227-2023</t>
        </is>
      </c>
      <c r="B359" s="1" t="n">
        <v>44986</v>
      </c>
      <c r="C359" s="1" t="n">
        <v>45729</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v>
      </c>
      <c r="C360" s="1" t="n">
        <v>45729</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v>
      </c>
      <c r="C361" s="1" t="n">
        <v>45729</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11595-2023</t>
        </is>
      </c>
      <c r="B362" s="1" t="n">
        <v>44994</v>
      </c>
      <c r="C362" s="1" t="n">
        <v>45729</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12065-2023</t>
        </is>
      </c>
      <c r="B363" s="1" t="n">
        <v>44997</v>
      </c>
      <c r="C363" s="1" t="n">
        <v>45729</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14680-2023</t>
        </is>
      </c>
      <c r="B364" s="1" t="n">
        <v>45014</v>
      </c>
      <c r="C364" s="1" t="n">
        <v>45729</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15594-2023</t>
        </is>
      </c>
      <c r="B365" s="1" t="n">
        <v>45020</v>
      </c>
      <c r="C365" s="1" t="n">
        <v>45729</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16423-2023</t>
        </is>
      </c>
      <c r="B366" s="1" t="n">
        <v>45029</v>
      </c>
      <c r="C366" s="1" t="n">
        <v>45729</v>
      </c>
      <c r="D366" t="inlineStr">
        <is>
          <t>DALARNAS LÄN</t>
        </is>
      </c>
      <c r="E366" t="inlineStr">
        <is>
          <t>ORSA</t>
        </is>
      </c>
      <c r="F366" t="inlineStr">
        <is>
          <t>Bergvik skog öst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45729</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45729</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18069-2023</t>
        </is>
      </c>
      <c r="B369" s="1" t="n">
        <v>45040</v>
      </c>
      <c r="C369" s="1" t="n">
        <v>45729</v>
      </c>
      <c r="D369" t="inlineStr">
        <is>
          <t>DALARNAS LÄN</t>
        </is>
      </c>
      <c r="E369" t="inlineStr">
        <is>
          <t>ORSA</t>
        </is>
      </c>
      <c r="G369" t="n">
        <v>3.7</v>
      </c>
      <c r="H369" t="n">
        <v>0</v>
      </c>
      <c r="I369" t="n">
        <v>0</v>
      </c>
      <c r="J369" t="n">
        <v>0</v>
      </c>
      <c r="K369" t="n">
        <v>0</v>
      </c>
      <c r="L369" t="n">
        <v>0</v>
      </c>
      <c r="M369" t="n">
        <v>0</v>
      </c>
      <c r="N369" t="n">
        <v>0</v>
      </c>
      <c r="O369" t="n">
        <v>0</v>
      </c>
      <c r="P369" t="n">
        <v>0</v>
      </c>
      <c r="Q369" t="n">
        <v>0</v>
      </c>
      <c r="R369" s="2" t="inlineStr"/>
    </row>
    <row r="370" ht="15" customHeight="1">
      <c r="A370" t="inlineStr">
        <is>
          <t>A 18009-2023</t>
        </is>
      </c>
      <c r="B370" s="1" t="n">
        <v>45040</v>
      </c>
      <c r="C370" s="1" t="n">
        <v>45729</v>
      </c>
      <c r="D370" t="inlineStr">
        <is>
          <t>DALARNAS LÄN</t>
        </is>
      </c>
      <c r="E370" t="inlineStr">
        <is>
          <t>ORSA</t>
        </is>
      </c>
      <c r="G370" t="n">
        <v>5.8</v>
      </c>
      <c r="H370" t="n">
        <v>0</v>
      </c>
      <c r="I370" t="n">
        <v>0</v>
      </c>
      <c r="J370" t="n">
        <v>0</v>
      </c>
      <c r="K370" t="n">
        <v>0</v>
      </c>
      <c r="L370" t="n">
        <v>0</v>
      </c>
      <c r="M370" t="n">
        <v>0</v>
      </c>
      <c r="N370" t="n">
        <v>0</v>
      </c>
      <c r="O370" t="n">
        <v>0</v>
      </c>
      <c r="P370" t="n">
        <v>0</v>
      </c>
      <c r="Q370" t="n">
        <v>0</v>
      </c>
      <c r="R370" s="2" t="inlineStr"/>
    </row>
    <row r="371" ht="15" customHeight="1">
      <c r="A371" t="inlineStr">
        <is>
          <t>A 18070-2023</t>
        </is>
      </c>
      <c r="B371" s="1" t="n">
        <v>45040</v>
      </c>
      <c r="C371" s="1" t="n">
        <v>45729</v>
      </c>
      <c r="D371" t="inlineStr">
        <is>
          <t>DALARNAS LÄN</t>
        </is>
      </c>
      <c r="E371" t="inlineStr">
        <is>
          <t>ORSA</t>
        </is>
      </c>
      <c r="G371" t="n">
        <v>3.3</v>
      </c>
      <c r="H371" t="n">
        <v>0</v>
      </c>
      <c r="I371" t="n">
        <v>0</v>
      </c>
      <c r="J371" t="n">
        <v>0</v>
      </c>
      <c r="K371" t="n">
        <v>0</v>
      </c>
      <c r="L371" t="n">
        <v>0</v>
      </c>
      <c r="M371" t="n">
        <v>0</v>
      </c>
      <c r="N371" t="n">
        <v>0</v>
      </c>
      <c r="O371" t="n">
        <v>0</v>
      </c>
      <c r="P371" t="n">
        <v>0</v>
      </c>
      <c r="Q371" t="n">
        <v>0</v>
      </c>
      <c r="R371" s="2" t="inlineStr"/>
    </row>
    <row r="372" ht="15" customHeight="1">
      <c r="A372" t="inlineStr">
        <is>
          <t>A 18817-2023</t>
        </is>
      </c>
      <c r="B372" s="1" t="n">
        <v>45043</v>
      </c>
      <c r="C372" s="1" t="n">
        <v>45729</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19266-2023</t>
        </is>
      </c>
      <c r="B373" s="1" t="n">
        <v>45049</v>
      </c>
      <c r="C373" s="1" t="n">
        <v>45729</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20302-2023</t>
        </is>
      </c>
      <c r="B374" s="1" t="n">
        <v>45056</v>
      </c>
      <c r="C374" s="1" t="n">
        <v>45729</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20493-2023</t>
        </is>
      </c>
      <c r="B375" s="1" t="n">
        <v>45057</v>
      </c>
      <c r="C375" s="1" t="n">
        <v>45729</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20561-2023</t>
        </is>
      </c>
      <c r="B376" s="1" t="n">
        <v>45057</v>
      </c>
      <c r="C376" s="1" t="n">
        <v>45729</v>
      </c>
      <c r="D376" t="inlineStr">
        <is>
          <t>DALARNAS LÄN</t>
        </is>
      </c>
      <c r="E376" t="inlineStr">
        <is>
          <t>ORSA</t>
        </is>
      </c>
      <c r="F376" t="inlineStr">
        <is>
          <t>Allmännings- och besparingsskogar</t>
        </is>
      </c>
      <c r="G376" t="n">
        <v>4.3</v>
      </c>
      <c r="H376" t="n">
        <v>0</v>
      </c>
      <c r="I376" t="n">
        <v>0</v>
      </c>
      <c r="J376" t="n">
        <v>0</v>
      </c>
      <c r="K376" t="n">
        <v>0</v>
      </c>
      <c r="L376" t="n">
        <v>0</v>
      </c>
      <c r="M376" t="n">
        <v>0</v>
      </c>
      <c r="N376" t="n">
        <v>0</v>
      </c>
      <c r="O376" t="n">
        <v>0</v>
      </c>
      <c r="P376" t="n">
        <v>0</v>
      </c>
      <c r="Q376" t="n">
        <v>0</v>
      </c>
      <c r="R376" s="2" t="inlineStr"/>
    </row>
    <row r="377" ht="15" customHeight="1">
      <c r="A377" t="inlineStr">
        <is>
          <t>A 20741-2023</t>
        </is>
      </c>
      <c r="B377" s="1" t="n">
        <v>45058</v>
      </c>
      <c r="C377" s="1" t="n">
        <v>45729</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20927-2023</t>
        </is>
      </c>
      <c r="B378" s="1" t="n">
        <v>45061</v>
      </c>
      <c r="C378" s="1" t="n">
        <v>45729</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21301-2023</t>
        </is>
      </c>
      <c r="B379" s="1" t="n">
        <v>45062</v>
      </c>
      <c r="C379" s="1" t="n">
        <v>45729</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21216-2023</t>
        </is>
      </c>
      <c r="B380" s="1" t="n">
        <v>45062</v>
      </c>
      <c r="C380" s="1" t="n">
        <v>45729</v>
      </c>
      <c r="D380" t="inlineStr">
        <is>
          <t>DALARNAS LÄN</t>
        </is>
      </c>
      <c r="E380" t="inlineStr">
        <is>
          <t>ORSA</t>
        </is>
      </c>
      <c r="F380" t="inlineStr">
        <is>
          <t>Bergvik skog öst AB</t>
        </is>
      </c>
      <c r="G380" t="n">
        <v>3.8</v>
      </c>
      <c r="H380" t="n">
        <v>0</v>
      </c>
      <c r="I380" t="n">
        <v>0</v>
      </c>
      <c r="J380" t="n">
        <v>0</v>
      </c>
      <c r="K380" t="n">
        <v>0</v>
      </c>
      <c r="L380" t="n">
        <v>0</v>
      </c>
      <c r="M380" t="n">
        <v>0</v>
      </c>
      <c r="N380" t="n">
        <v>0</v>
      </c>
      <c r="O380" t="n">
        <v>0</v>
      </c>
      <c r="P380" t="n">
        <v>0</v>
      </c>
      <c r="Q380" t="n">
        <v>0</v>
      </c>
      <c r="R380" s="2" t="inlineStr"/>
    </row>
    <row r="381" ht="15" customHeight="1">
      <c r="A381" t="inlineStr">
        <is>
          <t>A 21560-2023</t>
        </is>
      </c>
      <c r="B381" s="1" t="n">
        <v>45063</v>
      </c>
      <c r="C381" s="1" t="n">
        <v>45729</v>
      </c>
      <c r="D381" t="inlineStr">
        <is>
          <t>DALARNAS LÄN</t>
        </is>
      </c>
      <c r="E381" t="inlineStr">
        <is>
          <t>ORSA</t>
        </is>
      </c>
      <c r="F381" t="inlineStr">
        <is>
          <t>Bergvik skog öst AB</t>
        </is>
      </c>
      <c r="G381" t="n">
        <v>19.1</v>
      </c>
      <c r="H381" t="n">
        <v>0</v>
      </c>
      <c r="I381" t="n">
        <v>0</v>
      </c>
      <c r="J381" t="n">
        <v>0</v>
      </c>
      <c r="K381" t="n">
        <v>0</v>
      </c>
      <c r="L381" t="n">
        <v>0</v>
      </c>
      <c r="M381" t="n">
        <v>0</v>
      </c>
      <c r="N381" t="n">
        <v>0</v>
      </c>
      <c r="O381" t="n">
        <v>0</v>
      </c>
      <c r="P381" t="n">
        <v>0</v>
      </c>
      <c r="Q381" t="n">
        <v>0</v>
      </c>
      <c r="R381" s="2" t="inlineStr"/>
    </row>
    <row r="382" ht="15" customHeight="1">
      <c r="A382" t="inlineStr">
        <is>
          <t>A 21595-2023</t>
        </is>
      </c>
      <c r="B382" s="1" t="n">
        <v>45063</v>
      </c>
      <c r="C382" s="1" t="n">
        <v>45729</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22902-2023</t>
        </is>
      </c>
      <c r="B383" s="1" t="n">
        <v>45072</v>
      </c>
      <c r="C383" s="1" t="n">
        <v>45729</v>
      </c>
      <c r="D383" t="inlineStr">
        <is>
          <t>DALARNAS LÄN</t>
        </is>
      </c>
      <c r="E383" t="inlineStr">
        <is>
          <t>ORSA</t>
        </is>
      </c>
      <c r="G383" t="n">
        <v>6.3</v>
      </c>
      <c r="H383" t="n">
        <v>0</v>
      </c>
      <c r="I383" t="n">
        <v>0</v>
      </c>
      <c r="J383" t="n">
        <v>0</v>
      </c>
      <c r="K383" t="n">
        <v>0</v>
      </c>
      <c r="L383" t="n">
        <v>0</v>
      </c>
      <c r="M383" t="n">
        <v>0</v>
      </c>
      <c r="N383" t="n">
        <v>0</v>
      </c>
      <c r="O383" t="n">
        <v>0</v>
      </c>
      <c r="P383" t="n">
        <v>0</v>
      </c>
      <c r="Q383" t="n">
        <v>0</v>
      </c>
      <c r="R383" s="2" t="inlineStr"/>
    </row>
    <row r="384" ht="15" customHeight="1">
      <c r="A384" t="inlineStr">
        <is>
          <t>A 22912-2023</t>
        </is>
      </c>
      <c r="B384" s="1" t="n">
        <v>45072</v>
      </c>
      <c r="C384" s="1" t="n">
        <v>45729</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22911-2023</t>
        </is>
      </c>
      <c r="B385" s="1" t="n">
        <v>45072</v>
      </c>
      <c r="C385" s="1" t="n">
        <v>45729</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23031-2023</t>
        </is>
      </c>
      <c r="B386" s="1" t="n">
        <v>45074</v>
      </c>
      <c r="C386" s="1" t="n">
        <v>45729</v>
      </c>
      <c r="D386" t="inlineStr">
        <is>
          <t>DALARNAS LÄN</t>
        </is>
      </c>
      <c r="E386" t="inlineStr">
        <is>
          <t>ORSA</t>
        </is>
      </c>
      <c r="G386" t="n">
        <v>5.9</v>
      </c>
      <c r="H386" t="n">
        <v>0</v>
      </c>
      <c r="I386" t="n">
        <v>0</v>
      </c>
      <c r="J386" t="n">
        <v>0</v>
      </c>
      <c r="K386" t="n">
        <v>0</v>
      </c>
      <c r="L386" t="n">
        <v>0</v>
      </c>
      <c r="M386" t="n">
        <v>0</v>
      </c>
      <c r="N386" t="n">
        <v>0</v>
      </c>
      <c r="O386" t="n">
        <v>0</v>
      </c>
      <c r="P386" t="n">
        <v>0</v>
      </c>
      <c r="Q386" t="n">
        <v>0</v>
      </c>
      <c r="R386" s="2" t="inlineStr"/>
    </row>
    <row r="387" ht="15" customHeight="1">
      <c r="A387" t="inlineStr">
        <is>
          <t>A 23457-2023</t>
        </is>
      </c>
      <c r="B387" s="1" t="n">
        <v>45076</v>
      </c>
      <c r="C387" s="1" t="n">
        <v>45729</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23461-2023</t>
        </is>
      </c>
      <c r="B388" s="1" t="n">
        <v>45076</v>
      </c>
      <c r="C388" s="1" t="n">
        <v>45729</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23987-2023</t>
        </is>
      </c>
      <c r="B389" s="1" t="n">
        <v>45078</v>
      </c>
      <c r="C389" s="1" t="n">
        <v>45729</v>
      </c>
      <c r="D389" t="inlineStr">
        <is>
          <t>DALARNAS LÄN</t>
        </is>
      </c>
      <c r="E389" t="inlineStr">
        <is>
          <t>ORSA</t>
        </is>
      </c>
      <c r="F389" t="inlineStr">
        <is>
          <t>Bergvik skog öst AB</t>
        </is>
      </c>
      <c r="G389" t="n">
        <v>4.1</v>
      </c>
      <c r="H389" t="n">
        <v>0</v>
      </c>
      <c r="I389" t="n">
        <v>0</v>
      </c>
      <c r="J389" t="n">
        <v>0</v>
      </c>
      <c r="K389" t="n">
        <v>0</v>
      </c>
      <c r="L389" t="n">
        <v>0</v>
      </c>
      <c r="M389" t="n">
        <v>0</v>
      </c>
      <c r="N389" t="n">
        <v>0</v>
      </c>
      <c r="O389" t="n">
        <v>0</v>
      </c>
      <c r="P389" t="n">
        <v>0</v>
      </c>
      <c r="Q389" t="n">
        <v>0</v>
      </c>
      <c r="R389" s="2" t="inlineStr"/>
    </row>
    <row r="390" ht="15" customHeight="1">
      <c r="A390" t="inlineStr">
        <is>
          <t>A 23988-2023</t>
        </is>
      </c>
      <c r="B390" s="1" t="n">
        <v>45078</v>
      </c>
      <c r="C390" s="1" t="n">
        <v>45729</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24126-2023</t>
        </is>
      </c>
      <c r="B391" s="1" t="n">
        <v>45079</v>
      </c>
      <c r="C391" s="1" t="n">
        <v>45729</v>
      </c>
      <c r="D391" t="inlineStr">
        <is>
          <t>DALARNAS LÄN</t>
        </is>
      </c>
      <c r="E391" t="inlineStr">
        <is>
          <t>ORSA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24282-2023</t>
        </is>
      </c>
      <c r="B392" s="1" t="n">
        <v>45079</v>
      </c>
      <c r="C392" s="1" t="n">
        <v>45729</v>
      </c>
      <c r="D392" t="inlineStr">
        <is>
          <t>DALARNAS LÄN</t>
        </is>
      </c>
      <c r="E392" t="inlineStr">
        <is>
          <t>ORSA</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25753-2023</t>
        </is>
      </c>
      <c r="B393" s="1" t="n">
        <v>45090</v>
      </c>
      <c r="C393" s="1" t="n">
        <v>45729</v>
      </c>
      <c r="D393" t="inlineStr">
        <is>
          <t>DALARNAS LÄN</t>
        </is>
      </c>
      <c r="E393" t="inlineStr">
        <is>
          <t>ORSA</t>
        </is>
      </c>
      <c r="G393" t="n">
        <v>20.4</v>
      </c>
      <c r="H393" t="n">
        <v>0</v>
      </c>
      <c r="I393" t="n">
        <v>0</v>
      </c>
      <c r="J393" t="n">
        <v>0</v>
      </c>
      <c r="K393" t="n">
        <v>0</v>
      </c>
      <c r="L393" t="n">
        <v>0</v>
      </c>
      <c r="M393" t="n">
        <v>0</v>
      </c>
      <c r="N393" t="n">
        <v>0</v>
      </c>
      <c r="O393" t="n">
        <v>0</v>
      </c>
      <c r="P393" t="n">
        <v>0</v>
      </c>
      <c r="Q393" t="n">
        <v>0</v>
      </c>
      <c r="R393" s="2" t="inlineStr"/>
    </row>
    <row r="394" ht="15" customHeight="1">
      <c r="A394" t="inlineStr">
        <is>
          <t>A 25862-2023</t>
        </is>
      </c>
      <c r="B394" s="1" t="n">
        <v>45090</v>
      </c>
      <c r="C394" s="1" t="n">
        <v>45729</v>
      </c>
      <c r="D394" t="inlineStr">
        <is>
          <t>DALARNAS LÄN</t>
        </is>
      </c>
      <c r="E394" t="inlineStr">
        <is>
          <t>ORSA</t>
        </is>
      </c>
      <c r="G394" t="n">
        <v>3.1</v>
      </c>
      <c r="H394" t="n">
        <v>0</v>
      </c>
      <c r="I394" t="n">
        <v>0</v>
      </c>
      <c r="J394" t="n">
        <v>0</v>
      </c>
      <c r="K394" t="n">
        <v>0</v>
      </c>
      <c r="L394" t="n">
        <v>0</v>
      </c>
      <c r="M394" t="n">
        <v>0</v>
      </c>
      <c r="N394" t="n">
        <v>0</v>
      </c>
      <c r="O394" t="n">
        <v>0</v>
      </c>
      <c r="P394" t="n">
        <v>0</v>
      </c>
      <c r="Q394" t="n">
        <v>0</v>
      </c>
      <c r="R394" s="2" t="inlineStr"/>
    </row>
    <row r="395" ht="15" customHeight="1">
      <c r="A395" t="inlineStr">
        <is>
          <t>A 25888-2023</t>
        </is>
      </c>
      <c r="B395" s="1" t="n">
        <v>45090</v>
      </c>
      <c r="C395" s="1" t="n">
        <v>45729</v>
      </c>
      <c r="D395" t="inlineStr">
        <is>
          <t>DALARNAS LÄN</t>
        </is>
      </c>
      <c r="E395" t="inlineStr">
        <is>
          <t>ORSA</t>
        </is>
      </c>
      <c r="F395" t="inlineStr">
        <is>
          <t>Bergvik skog öst AB</t>
        </is>
      </c>
      <c r="G395" t="n">
        <v>11.2</v>
      </c>
      <c r="H395" t="n">
        <v>0</v>
      </c>
      <c r="I395" t="n">
        <v>0</v>
      </c>
      <c r="J395" t="n">
        <v>0</v>
      </c>
      <c r="K395" t="n">
        <v>0</v>
      </c>
      <c r="L395" t="n">
        <v>0</v>
      </c>
      <c r="M395" t="n">
        <v>0</v>
      </c>
      <c r="N395" t="n">
        <v>0</v>
      </c>
      <c r="O395" t="n">
        <v>0</v>
      </c>
      <c r="P395" t="n">
        <v>0</v>
      </c>
      <c r="Q395" t="n">
        <v>0</v>
      </c>
      <c r="R395" s="2" t="inlineStr"/>
    </row>
    <row r="396" ht="15" customHeight="1">
      <c r="A396" t="inlineStr">
        <is>
          <t>A 25859-2023</t>
        </is>
      </c>
      <c r="B396" s="1" t="n">
        <v>45090</v>
      </c>
      <c r="C396" s="1" t="n">
        <v>45729</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26285-2023</t>
        </is>
      </c>
      <c r="B397" s="1" t="n">
        <v>45091</v>
      </c>
      <c r="C397" s="1" t="n">
        <v>45729</v>
      </c>
      <c r="D397" t="inlineStr">
        <is>
          <t>DALARNAS LÄN</t>
        </is>
      </c>
      <c r="E397" t="inlineStr">
        <is>
          <t>ORSA</t>
        </is>
      </c>
      <c r="G397" t="n">
        <v>16.7</v>
      </c>
      <c r="H397" t="n">
        <v>0</v>
      </c>
      <c r="I397" t="n">
        <v>0</v>
      </c>
      <c r="J397" t="n">
        <v>0</v>
      </c>
      <c r="K397" t="n">
        <v>0</v>
      </c>
      <c r="L397" t="n">
        <v>0</v>
      </c>
      <c r="M397" t="n">
        <v>0</v>
      </c>
      <c r="N397" t="n">
        <v>0</v>
      </c>
      <c r="O397" t="n">
        <v>0</v>
      </c>
      <c r="P397" t="n">
        <v>0</v>
      </c>
      <c r="Q397" t="n">
        <v>0</v>
      </c>
      <c r="R397" s="2" t="inlineStr"/>
    </row>
    <row r="398" ht="15" customHeight="1">
      <c r="A398" t="inlineStr">
        <is>
          <t>A 26261-2023</t>
        </is>
      </c>
      <c r="B398" s="1" t="n">
        <v>45091</v>
      </c>
      <c r="C398" s="1" t="n">
        <v>45729</v>
      </c>
      <c r="D398" t="inlineStr">
        <is>
          <t>DALARNAS LÄN</t>
        </is>
      </c>
      <c r="E398" t="inlineStr">
        <is>
          <t>ORSA</t>
        </is>
      </c>
      <c r="G398" t="n">
        <v>33.5</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45729</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26288-2023</t>
        </is>
      </c>
      <c r="B400" s="1" t="n">
        <v>45091</v>
      </c>
      <c r="C400" s="1" t="n">
        <v>45729</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26294-2023</t>
        </is>
      </c>
      <c r="B401" s="1" t="n">
        <v>45091</v>
      </c>
      <c r="C401" s="1" t="n">
        <v>45729</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26088-2023</t>
        </is>
      </c>
      <c r="B402" s="1" t="n">
        <v>45091</v>
      </c>
      <c r="C402" s="1" t="n">
        <v>45729</v>
      </c>
      <c r="D402" t="inlineStr">
        <is>
          <t>DALARNAS LÄN</t>
        </is>
      </c>
      <c r="E402" t="inlineStr">
        <is>
          <t>ORSA</t>
        </is>
      </c>
      <c r="G402" t="n">
        <v>2.8</v>
      </c>
      <c r="H402" t="n">
        <v>0</v>
      </c>
      <c r="I402" t="n">
        <v>0</v>
      </c>
      <c r="J402" t="n">
        <v>0</v>
      </c>
      <c r="K402" t="n">
        <v>0</v>
      </c>
      <c r="L402" t="n">
        <v>0</v>
      </c>
      <c r="M402" t="n">
        <v>0</v>
      </c>
      <c r="N402" t="n">
        <v>0</v>
      </c>
      <c r="O402" t="n">
        <v>0</v>
      </c>
      <c r="P402" t="n">
        <v>0</v>
      </c>
      <c r="Q402" t="n">
        <v>0</v>
      </c>
      <c r="R402" s="2" t="inlineStr"/>
    </row>
    <row r="403" ht="15" customHeight="1">
      <c r="A403" t="inlineStr">
        <is>
          <t>A 27163-2023</t>
        </is>
      </c>
      <c r="B403" s="1" t="n">
        <v>45096</v>
      </c>
      <c r="C403" s="1" t="n">
        <v>45729</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27531-2023</t>
        </is>
      </c>
      <c r="B404" s="1" t="n">
        <v>45097</v>
      </c>
      <c r="C404" s="1" t="n">
        <v>45729</v>
      </c>
      <c r="D404" t="inlineStr">
        <is>
          <t>DALARNAS LÄN</t>
        </is>
      </c>
      <c r="E404" t="inlineStr">
        <is>
          <t>ORSA</t>
        </is>
      </c>
      <c r="F404" t="inlineStr">
        <is>
          <t>Allmännings- och besparingsskogar</t>
        </is>
      </c>
      <c r="G404" t="n">
        <v>13.4</v>
      </c>
      <c r="H404" t="n">
        <v>0</v>
      </c>
      <c r="I404" t="n">
        <v>0</v>
      </c>
      <c r="J404" t="n">
        <v>0</v>
      </c>
      <c r="K404" t="n">
        <v>0</v>
      </c>
      <c r="L404" t="n">
        <v>0</v>
      </c>
      <c r="M404" t="n">
        <v>0</v>
      </c>
      <c r="N404" t="n">
        <v>0</v>
      </c>
      <c r="O404" t="n">
        <v>0</v>
      </c>
      <c r="P404" t="n">
        <v>0</v>
      </c>
      <c r="Q404" t="n">
        <v>0</v>
      </c>
      <c r="R404" s="2" t="inlineStr"/>
    </row>
    <row r="405" ht="15" customHeight="1">
      <c r="A405" t="inlineStr">
        <is>
          <t>A 28082-2023</t>
        </is>
      </c>
      <c r="B405" s="1" t="n">
        <v>45099</v>
      </c>
      <c r="C405" s="1" t="n">
        <v>45729</v>
      </c>
      <c r="D405" t="inlineStr">
        <is>
          <t>DALARNAS LÄN</t>
        </is>
      </c>
      <c r="E405" t="inlineStr">
        <is>
          <t>ORSA</t>
        </is>
      </c>
      <c r="G405" t="n">
        <v>0.4</v>
      </c>
      <c r="H405" t="n">
        <v>0</v>
      </c>
      <c r="I405" t="n">
        <v>0</v>
      </c>
      <c r="J405" t="n">
        <v>0</v>
      </c>
      <c r="K405" t="n">
        <v>0</v>
      </c>
      <c r="L405" t="n">
        <v>0</v>
      </c>
      <c r="M405" t="n">
        <v>0</v>
      </c>
      <c r="N405" t="n">
        <v>0</v>
      </c>
      <c r="O405" t="n">
        <v>0</v>
      </c>
      <c r="P405" t="n">
        <v>0</v>
      </c>
      <c r="Q405" t="n">
        <v>0</v>
      </c>
      <c r="R405" s="2" t="inlineStr"/>
    </row>
    <row r="406" ht="15" customHeight="1">
      <c r="A406" t="inlineStr">
        <is>
          <t>A 28196-2023</t>
        </is>
      </c>
      <c r="B406" s="1" t="n">
        <v>45099</v>
      </c>
      <c r="C406" s="1" t="n">
        <v>45729</v>
      </c>
      <c r="D406" t="inlineStr">
        <is>
          <t>DALARNAS LÄN</t>
        </is>
      </c>
      <c r="E406" t="inlineStr">
        <is>
          <t>ORSA</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28155-2023</t>
        </is>
      </c>
      <c r="B407" s="1" t="n">
        <v>45099</v>
      </c>
      <c r="C407" s="1" t="n">
        <v>45729</v>
      </c>
      <c r="D407" t="inlineStr">
        <is>
          <t>DALARNAS LÄN</t>
        </is>
      </c>
      <c r="E407" t="inlineStr">
        <is>
          <t>ORSA</t>
        </is>
      </c>
      <c r="F407" t="inlineStr">
        <is>
          <t>Bergvik skog öst AB</t>
        </is>
      </c>
      <c r="G407" t="n">
        <v>7.8</v>
      </c>
      <c r="H407" t="n">
        <v>0</v>
      </c>
      <c r="I407" t="n">
        <v>0</v>
      </c>
      <c r="J407" t="n">
        <v>0</v>
      </c>
      <c r="K407" t="n">
        <v>0</v>
      </c>
      <c r="L407" t="n">
        <v>0</v>
      </c>
      <c r="M407" t="n">
        <v>0</v>
      </c>
      <c r="N407" t="n">
        <v>0</v>
      </c>
      <c r="O407" t="n">
        <v>0</v>
      </c>
      <c r="P407" t="n">
        <v>0</v>
      </c>
      <c r="Q407" t="n">
        <v>0</v>
      </c>
      <c r="R407" s="2" t="inlineStr"/>
    </row>
    <row r="408" ht="15" customHeight="1">
      <c r="A408" t="inlineStr">
        <is>
          <t>A 28195-2023</t>
        </is>
      </c>
      <c r="B408" s="1" t="n">
        <v>45099</v>
      </c>
      <c r="C408" s="1" t="n">
        <v>45729</v>
      </c>
      <c r="D408" t="inlineStr">
        <is>
          <t>DALARNAS LÄN</t>
        </is>
      </c>
      <c r="E408" t="inlineStr">
        <is>
          <t>ORSA</t>
        </is>
      </c>
      <c r="F408" t="inlineStr">
        <is>
          <t>Bergvik skog öst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30474-2023</t>
        </is>
      </c>
      <c r="B409" s="1" t="n">
        <v>45099</v>
      </c>
      <c r="C409" s="1" t="n">
        <v>45729</v>
      </c>
      <c r="D409" t="inlineStr">
        <is>
          <t>DALARNAS LÄN</t>
        </is>
      </c>
      <c r="E409" t="inlineStr">
        <is>
          <t>ORSA</t>
        </is>
      </c>
      <c r="G409" t="n">
        <v>2.2</v>
      </c>
      <c r="H409" t="n">
        <v>0</v>
      </c>
      <c r="I409" t="n">
        <v>0</v>
      </c>
      <c r="J409" t="n">
        <v>0</v>
      </c>
      <c r="K409" t="n">
        <v>0</v>
      </c>
      <c r="L409" t="n">
        <v>0</v>
      </c>
      <c r="M409" t="n">
        <v>0</v>
      </c>
      <c r="N409" t="n">
        <v>0</v>
      </c>
      <c r="O409" t="n">
        <v>0</v>
      </c>
      <c r="P409" t="n">
        <v>0</v>
      </c>
      <c r="Q409" t="n">
        <v>0</v>
      </c>
      <c r="R409" s="2" t="inlineStr"/>
    </row>
    <row r="410" ht="15" customHeight="1">
      <c r="A410" t="inlineStr">
        <is>
          <t>A 30464-2023</t>
        </is>
      </c>
      <c r="B410" s="1" t="n">
        <v>45099</v>
      </c>
      <c r="C410" s="1" t="n">
        <v>45729</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28451-2023</t>
        </is>
      </c>
      <c r="B411" s="1" t="n">
        <v>45103</v>
      </c>
      <c r="C411" s="1" t="n">
        <v>45729</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28511-2023</t>
        </is>
      </c>
      <c r="B412" s="1" t="n">
        <v>45103</v>
      </c>
      <c r="C412" s="1" t="n">
        <v>45729</v>
      </c>
      <c r="D412" t="inlineStr">
        <is>
          <t>DALARNAS LÄN</t>
        </is>
      </c>
      <c r="E412" t="inlineStr">
        <is>
          <t>ORSA</t>
        </is>
      </c>
      <c r="F412" t="inlineStr">
        <is>
          <t>Allmännings- och besparingsskogar</t>
        </is>
      </c>
      <c r="G412" t="n">
        <v>41.4</v>
      </c>
      <c r="H412" t="n">
        <v>0</v>
      </c>
      <c r="I412" t="n">
        <v>0</v>
      </c>
      <c r="J412" t="n">
        <v>0</v>
      </c>
      <c r="K412" t="n">
        <v>0</v>
      </c>
      <c r="L412" t="n">
        <v>0</v>
      </c>
      <c r="M412" t="n">
        <v>0</v>
      </c>
      <c r="N412" t="n">
        <v>0</v>
      </c>
      <c r="O412" t="n">
        <v>0</v>
      </c>
      <c r="P412" t="n">
        <v>0</v>
      </c>
      <c r="Q412" t="n">
        <v>0</v>
      </c>
      <c r="R412" s="2" t="inlineStr"/>
    </row>
    <row r="413" ht="15" customHeight="1">
      <c r="A413" t="inlineStr">
        <is>
          <t>A 29025-2023</t>
        </is>
      </c>
      <c r="B413" s="1" t="n">
        <v>45104</v>
      </c>
      <c r="C413" s="1" t="n">
        <v>45729</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29041-2023</t>
        </is>
      </c>
      <c r="B414" s="1" t="n">
        <v>45104</v>
      </c>
      <c r="C414" s="1" t="n">
        <v>45729</v>
      </c>
      <c r="D414" t="inlineStr">
        <is>
          <t>DALARNAS LÄN</t>
        </is>
      </c>
      <c r="E414" t="inlineStr">
        <is>
          <t>ORSA</t>
        </is>
      </c>
      <c r="G414" t="n">
        <v>3.2</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45729</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30356-2023</t>
        </is>
      </c>
      <c r="B416" s="1" t="n">
        <v>45111</v>
      </c>
      <c r="C416" s="1" t="n">
        <v>45729</v>
      </c>
      <c r="D416" t="inlineStr">
        <is>
          <t>DALARNAS LÄN</t>
        </is>
      </c>
      <c r="E416" t="inlineStr">
        <is>
          <t>ORSA</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30389-2023</t>
        </is>
      </c>
      <c r="B417" s="1" t="n">
        <v>45111</v>
      </c>
      <c r="C417" s="1" t="n">
        <v>45729</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45729</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30392-2023</t>
        </is>
      </c>
      <c r="B419" s="1" t="n">
        <v>45111</v>
      </c>
      <c r="C419" s="1" t="n">
        <v>45729</v>
      </c>
      <c r="D419" t="inlineStr">
        <is>
          <t>DALARNAS LÄN</t>
        </is>
      </c>
      <c r="E419" t="inlineStr">
        <is>
          <t>ORSA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30664-2023</t>
        </is>
      </c>
      <c r="B420" s="1" t="n">
        <v>45112</v>
      </c>
      <c r="C420" s="1" t="n">
        <v>45729</v>
      </c>
      <c r="D420" t="inlineStr">
        <is>
          <t>DALARNAS LÄN</t>
        </is>
      </c>
      <c r="E420" t="inlineStr">
        <is>
          <t>ORSA</t>
        </is>
      </c>
      <c r="F420" t="inlineStr">
        <is>
          <t>Allmännings- och besparingsskogar</t>
        </is>
      </c>
      <c r="G420" t="n">
        <v>18.1</v>
      </c>
      <c r="H420" t="n">
        <v>0</v>
      </c>
      <c r="I420" t="n">
        <v>0</v>
      </c>
      <c r="J420" t="n">
        <v>0</v>
      </c>
      <c r="K420" t="n">
        <v>0</v>
      </c>
      <c r="L420" t="n">
        <v>0</v>
      </c>
      <c r="M420" t="n">
        <v>0</v>
      </c>
      <c r="N420" t="n">
        <v>0</v>
      </c>
      <c r="O420" t="n">
        <v>0</v>
      </c>
      <c r="P420" t="n">
        <v>0</v>
      </c>
      <c r="Q420" t="n">
        <v>0</v>
      </c>
      <c r="R420" s="2" t="inlineStr"/>
    </row>
    <row r="421" ht="15" customHeight="1">
      <c r="A421" t="inlineStr">
        <is>
          <t>A 31031-2023</t>
        </is>
      </c>
      <c r="B421" s="1" t="n">
        <v>45113</v>
      </c>
      <c r="C421" s="1" t="n">
        <v>45729</v>
      </c>
      <c r="D421" t="inlineStr">
        <is>
          <t>DALARNAS LÄN</t>
        </is>
      </c>
      <c r="E421" t="inlineStr">
        <is>
          <t>ORSA</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31044-2023</t>
        </is>
      </c>
      <c r="B422" s="1" t="n">
        <v>45113</v>
      </c>
      <c r="C422" s="1" t="n">
        <v>45729</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v>
      </c>
      <c r="C423" s="1" t="n">
        <v>45729</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31059-2023</t>
        </is>
      </c>
      <c r="B424" s="1" t="n">
        <v>45113</v>
      </c>
      <c r="C424" s="1" t="n">
        <v>45729</v>
      </c>
      <c r="D424" t="inlineStr">
        <is>
          <t>DALARNAS LÄN</t>
        </is>
      </c>
      <c r="E424" t="inlineStr">
        <is>
          <t>ORSA</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31170-2023</t>
        </is>
      </c>
      <c r="B425" s="1" t="n">
        <v>45113</v>
      </c>
      <c r="C425" s="1" t="n">
        <v>45729</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31174-2023</t>
        </is>
      </c>
      <c r="B426" s="1" t="n">
        <v>45113</v>
      </c>
      <c r="C426" s="1" t="n">
        <v>45729</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31171-2023</t>
        </is>
      </c>
      <c r="B427" s="1" t="n">
        <v>45113</v>
      </c>
      <c r="C427" s="1" t="n">
        <v>45729</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v>
      </c>
      <c r="C428" s="1" t="n">
        <v>45729</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31409-2023</t>
        </is>
      </c>
      <c r="B429" s="1" t="n">
        <v>45114</v>
      </c>
      <c r="C429" s="1" t="n">
        <v>45729</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31782-2023</t>
        </is>
      </c>
      <c r="B430" s="1" t="n">
        <v>45118</v>
      </c>
      <c r="C430" s="1" t="n">
        <v>45729</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31780-2023</t>
        </is>
      </c>
      <c r="B431" s="1" t="n">
        <v>45118</v>
      </c>
      <c r="C431" s="1" t="n">
        <v>45729</v>
      </c>
      <c r="D431" t="inlineStr">
        <is>
          <t>DALARNAS LÄN</t>
        </is>
      </c>
      <c r="E431" t="inlineStr">
        <is>
          <t>ORSA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33753-2023</t>
        </is>
      </c>
      <c r="B432" s="1" t="n">
        <v>45120</v>
      </c>
      <c r="C432" s="1" t="n">
        <v>45729</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33348-2023</t>
        </is>
      </c>
      <c r="B433" s="1" t="n">
        <v>45128</v>
      </c>
      <c r="C433" s="1" t="n">
        <v>45729</v>
      </c>
      <c r="D433" t="inlineStr">
        <is>
          <t>DALARNAS LÄN</t>
        </is>
      </c>
      <c r="E433" t="inlineStr">
        <is>
          <t>ORSA</t>
        </is>
      </c>
      <c r="F433" t="inlineStr">
        <is>
          <t>Allmännings- och besparingsskogar</t>
        </is>
      </c>
      <c r="G433" t="n">
        <v>25.9</v>
      </c>
      <c r="H433" t="n">
        <v>0</v>
      </c>
      <c r="I433" t="n">
        <v>0</v>
      </c>
      <c r="J433" t="n">
        <v>0</v>
      </c>
      <c r="K433" t="n">
        <v>0</v>
      </c>
      <c r="L433" t="n">
        <v>0</v>
      </c>
      <c r="M433" t="n">
        <v>0</v>
      </c>
      <c r="N433" t="n">
        <v>0</v>
      </c>
      <c r="O433" t="n">
        <v>0</v>
      </c>
      <c r="P433" t="n">
        <v>0</v>
      </c>
      <c r="Q433" t="n">
        <v>0</v>
      </c>
      <c r="R433" s="2" t="inlineStr"/>
    </row>
    <row r="434" ht="15" customHeight="1">
      <c r="A434" t="inlineStr">
        <is>
          <t>A 33452-2023</t>
        </is>
      </c>
      <c r="B434" s="1" t="n">
        <v>45130</v>
      </c>
      <c r="C434" s="1" t="n">
        <v>45729</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33693-2023</t>
        </is>
      </c>
      <c r="B435" s="1" t="n">
        <v>45132</v>
      </c>
      <c r="C435" s="1" t="n">
        <v>45729</v>
      </c>
      <c r="D435" t="inlineStr">
        <is>
          <t>DALARNAS LÄN</t>
        </is>
      </c>
      <c r="E435" t="inlineStr">
        <is>
          <t>ORSA</t>
        </is>
      </c>
      <c r="G435" t="n">
        <v>22.8</v>
      </c>
      <c r="H435" t="n">
        <v>0</v>
      </c>
      <c r="I435" t="n">
        <v>0</v>
      </c>
      <c r="J435" t="n">
        <v>0</v>
      </c>
      <c r="K435" t="n">
        <v>0</v>
      </c>
      <c r="L435" t="n">
        <v>0</v>
      </c>
      <c r="M435" t="n">
        <v>0</v>
      </c>
      <c r="N435" t="n">
        <v>0</v>
      </c>
      <c r="O435" t="n">
        <v>0</v>
      </c>
      <c r="P435" t="n">
        <v>0</v>
      </c>
      <c r="Q435" t="n">
        <v>0</v>
      </c>
      <c r="R435" s="2" t="inlineStr"/>
    </row>
    <row r="436" ht="15" customHeight="1">
      <c r="A436" t="inlineStr">
        <is>
          <t>A 33673-2023</t>
        </is>
      </c>
      <c r="B436" s="1" t="n">
        <v>45132</v>
      </c>
      <c r="C436" s="1" t="n">
        <v>45729</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33823-2023</t>
        </is>
      </c>
      <c r="B437" s="1" t="n">
        <v>45133</v>
      </c>
      <c r="C437" s="1" t="n">
        <v>45729</v>
      </c>
      <c r="D437" t="inlineStr">
        <is>
          <t>DALARNAS LÄN</t>
        </is>
      </c>
      <c r="E437" t="inlineStr">
        <is>
          <t>ORSA</t>
        </is>
      </c>
      <c r="G437" t="n">
        <v>19.7</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45729</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45729</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45729</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45729</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45729</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45729</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45729</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45729</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45729</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45729</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45729</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45729</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45729</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45729</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45729</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45729</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45729</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45729</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45729</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45729</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45729</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45729</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45729</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45729</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45729</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45729</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45729</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45729</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45729</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45729</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45729</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45729</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45729</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45729</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45729</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45729</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45729</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45729</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45729</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45729</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45729</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45729</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45729</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45729</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45729</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45729</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45729</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45729</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45729</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45729</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45729</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45729</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45729</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45729</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45729</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45729</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45729</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45729</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45729</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45729</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45729</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45729</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45729</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45729</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45729</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45729</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45729</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45729</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45729</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45729</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45729</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45729</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45729</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45729</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45729</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45729</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45729</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45729</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45729</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45729</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45729</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45729</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45729</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45729</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45729</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45729</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45729</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45729</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45729</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45729</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45729</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45729</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45729</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45729</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45729</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45729</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45729</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45729</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45729</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45729</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45729</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45729</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45729</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45729</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45729</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45729</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45729</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45729</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45729</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45729</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45729</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45729</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45729</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45729</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45729</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45729</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45729</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45729</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45729</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45729</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45729</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45729</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45729</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45729</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45729</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45729</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45729</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45729</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45729</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45729</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45729</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45729</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45729</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45729</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45729</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45729</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45729</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45729</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45729</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45729</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45729</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45729</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45729</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45729</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45729</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45729</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45729</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45729</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45729</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45729</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45729</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45729</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45729</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45729</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45729</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45729</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45729</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45729</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45729</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45729</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45729</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45729</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45729</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45729</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45729</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45729</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45729</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45729</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45729</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45729</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45729</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45729</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45729</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45729</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45729</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45729</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45729</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45729</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45729</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45729</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45729</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45729</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45729</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45729</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45729</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45729</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45729</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45729</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45729</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45729</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45729</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45729</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45729</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45729</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45729</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45729</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45729</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45729</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45729</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45729</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45729</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45729</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45729</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45729</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45729</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45729</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45729</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45729</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45729</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45729</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45729</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45729</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45729</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45729</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45729</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45729</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45729</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45729</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45729</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45729</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45729</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45729</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45729</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45729</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45729</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45729</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45729</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45729</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45729</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45729</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45729</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45729</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45729</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45729</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45729</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45729</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45729</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45729</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45729</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45729</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45729</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45729</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45729</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45729</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45729</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45729</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45729</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45729</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45729</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45729</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45729</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45729</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45729</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45729</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45729</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45729</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45729</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45729</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45729</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45729</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45729</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45729</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45729</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45729</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45729</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45729</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45729</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45729</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45729</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45729</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45729</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45729</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45729</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45729</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45729</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45729</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45729</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45729</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45729</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45729</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45729</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45729</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45729</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45729</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45729</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45729</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45729</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45729</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45729</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45729</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45729</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45729</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45729</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45729</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45729</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45729</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45729</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45729</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45729</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45729</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45729</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45729</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45729</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45729</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45729</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45729</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45729</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45729</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45729</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45729</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45729</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45729</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45729</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45729</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45729</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45729</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45729</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45729</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45729</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45729</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45729</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45729</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45729</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45729</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45729</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45729</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45729</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7626-2025</t>
        </is>
      </c>
      <c r="B766" s="1" t="n">
        <v>45705</v>
      </c>
      <c r="C766" s="1" t="n">
        <v>45729</v>
      </c>
      <c r="D766" t="inlineStr">
        <is>
          <t>DALARNAS LÄN</t>
        </is>
      </c>
      <c r="E766" t="inlineStr">
        <is>
          <t>ORSA</t>
        </is>
      </c>
      <c r="G766" t="n">
        <v>15.5</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45729</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45729</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7619-2025</t>
        </is>
      </c>
      <c r="B769" s="1" t="n">
        <v>45705</v>
      </c>
      <c r="C769" s="1" t="n">
        <v>45729</v>
      </c>
      <c r="D769" t="inlineStr">
        <is>
          <t>DALARNAS LÄN</t>
        </is>
      </c>
      <c r="E769" t="inlineStr">
        <is>
          <t>ORSA</t>
        </is>
      </c>
      <c r="G769" t="n">
        <v>5.4</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45729</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10645-2025</t>
        </is>
      </c>
      <c r="B772" s="1" t="n">
        <v>45721</v>
      </c>
      <c r="C772" s="1" t="n">
        <v>45729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2025-03-13T16:40:20Z</dcterms:created>
  <dcterms:modified xmlns:dcterms="http://purl.org/dc/terms/" xmlns:xsi="http://www.w3.org/2001/XMLSchema-instance" xsi:type="dcterms:W3CDTF">2025-03-13T16:40:21Z</dcterms:modified>
</cp:coreProperties>
</file>