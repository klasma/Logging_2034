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45576</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45576</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45576</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45576</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45576</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45576</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45576</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45576</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45576</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45576</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45576</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45576</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45576</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45576</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45576</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45576</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45576</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45576</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45576</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40213-2023</t>
        </is>
      </c>
      <c r="B25" s="1" t="n">
        <v>45169</v>
      </c>
      <c r="C25" s="1" t="n">
        <v>45576</v>
      </c>
      <c r="D25" t="inlineStr">
        <is>
          <t>DALARNAS LÄN</t>
        </is>
      </c>
      <c r="E25" t="inlineStr">
        <is>
          <t>ORSA</t>
        </is>
      </c>
      <c r="F25" t="inlineStr">
        <is>
          <t>Allmännings- och besparingsskogar</t>
        </is>
      </c>
      <c r="G25" t="n">
        <v>4.4</v>
      </c>
      <c r="H25" t="n">
        <v>0</v>
      </c>
      <c r="I25" t="n">
        <v>0</v>
      </c>
      <c r="J25" t="n">
        <v>7</v>
      </c>
      <c r="K25" t="n">
        <v>0</v>
      </c>
      <c r="L25" t="n">
        <v>0</v>
      </c>
      <c r="M25" t="n">
        <v>0</v>
      </c>
      <c r="N25" t="n">
        <v>0</v>
      </c>
      <c r="O25" t="n">
        <v>7</v>
      </c>
      <c r="P25" t="n">
        <v>0</v>
      </c>
      <c r="Q25" t="n">
        <v>7</v>
      </c>
      <c r="R25" s="2" t="inlineStr">
        <is>
          <t>Blågrå svartspik
Doftskinn
Garnlav
Granticka
Mörk kolflarnlav
Vedskivlav
Violettgrå tagellav</t>
        </is>
      </c>
      <c r="S25">
        <f>HYPERLINK("https://klasma.github.io/Logging_2034/artfynd/A 40213-2023 artfynd.xlsx", "A 40213-2023")</f>
        <v/>
      </c>
      <c r="T25">
        <f>HYPERLINK("https://klasma.github.io/Logging_2034/kartor/A 40213-2023 karta.png", "A 40213-2023")</f>
        <v/>
      </c>
      <c r="V25">
        <f>HYPERLINK("https://klasma.github.io/Logging_2034/klagomål/A 40213-2023 FSC-klagomål.docx", "A 40213-2023")</f>
        <v/>
      </c>
      <c r="W25">
        <f>HYPERLINK("https://klasma.github.io/Logging_2034/klagomålsmail/A 40213-2023 FSC-klagomål mail.docx", "A 40213-2023")</f>
        <v/>
      </c>
      <c r="X25">
        <f>HYPERLINK("https://klasma.github.io/Logging_2034/tillsyn/A 40213-2023 tillsynsbegäran.docx", "A 40213-2023")</f>
        <v/>
      </c>
      <c r="Y25">
        <f>HYPERLINK("https://klasma.github.io/Logging_2034/tillsynsmail/A 40213-2023 tillsynsbegäran mail.docx", "A 40213-2023")</f>
        <v/>
      </c>
    </row>
    <row r="26" ht="15" customHeight="1">
      <c r="A26" t="inlineStr">
        <is>
          <t>A 46984-2023</t>
        </is>
      </c>
      <c r="B26" s="1" t="n">
        <v>45201</v>
      </c>
      <c r="C26" s="1" t="n">
        <v>45576</v>
      </c>
      <c r="D26" t="inlineStr">
        <is>
          <t>DALARNAS LÄN</t>
        </is>
      </c>
      <c r="E26" t="inlineStr">
        <is>
          <t>ORSA</t>
        </is>
      </c>
      <c r="F26" t="inlineStr">
        <is>
          <t>Allmännings- och besparingsskogar</t>
        </is>
      </c>
      <c r="G26" t="n">
        <v>3.4</v>
      </c>
      <c r="H26" t="n">
        <v>2</v>
      </c>
      <c r="I26" t="n">
        <v>1</v>
      </c>
      <c r="J26" t="n">
        <v>5</v>
      </c>
      <c r="K26" t="n">
        <v>1</v>
      </c>
      <c r="L26" t="n">
        <v>0</v>
      </c>
      <c r="M26" t="n">
        <v>0</v>
      </c>
      <c r="N26" t="n">
        <v>0</v>
      </c>
      <c r="O26" t="n">
        <v>6</v>
      </c>
      <c r="P26" t="n">
        <v>1</v>
      </c>
      <c r="Q26" t="n">
        <v>7</v>
      </c>
      <c r="R26" s="2" t="inlineStr">
        <is>
          <t>Knärot
Garnlav
Kungsörn
Ullticka
Vedskivlav
Vitplätt
Dropptaggsvamp</t>
        </is>
      </c>
      <c r="S26">
        <f>HYPERLINK("https://klasma.github.io/Logging_2034/artfynd/A 46984-2023 artfynd.xlsx", "A 46984-2023")</f>
        <v/>
      </c>
      <c r="T26">
        <f>HYPERLINK("https://klasma.github.io/Logging_2034/kartor/A 46984-2023 karta.png", "A 46984-2023")</f>
        <v/>
      </c>
      <c r="U26">
        <f>HYPERLINK("https://klasma.github.io/Logging_2034/knärot/A 46984-2023 karta knärot.png", "A 46984-2023")</f>
        <v/>
      </c>
      <c r="V26">
        <f>HYPERLINK("https://klasma.github.io/Logging_2034/klagomål/A 46984-2023 FSC-klagomål.docx", "A 46984-2023")</f>
        <v/>
      </c>
      <c r="W26">
        <f>HYPERLINK("https://klasma.github.io/Logging_2034/klagomålsmail/A 46984-2023 FSC-klagomål mail.docx", "A 46984-2023")</f>
        <v/>
      </c>
      <c r="X26">
        <f>HYPERLINK("https://klasma.github.io/Logging_2034/tillsyn/A 46984-2023 tillsynsbegäran.docx", "A 46984-2023")</f>
        <v/>
      </c>
      <c r="Y26">
        <f>HYPERLINK("https://klasma.github.io/Logging_2034/tillsynsmail/A 46984-2023 tillsynsbegäran mail.docx", "A 46984-2023")</f>
        <v/>
      </c>
      <c r="Z26">
        <f>HYPERLINK("https://klasma.github.io/Logging_2034/fåglar/A 46984-2023 prioriterade fågelarter.docx", "A 46984-2023")</f>
        <v/>
      </c>
    </row>
    <row r="27" ht="15" customHeight="1">
      <c r="A27" t="inlineStr">
        <is>
          <t>A 707-2024</t>
        </is>
      </c>
      <c r="B27" s="1" t="n">
        <v>45300</v>
      </c>
      <c r="C27" s="1" t="n">
        <v>45576</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22647-2022</t>
        </is>
      </c>
      <c r="B28" s="1" t="n">
        <v>44714</v>
      </c>
      <c r="C28" s="1" t="n">
        <v>45576</v>
      </c>
      <c r="D28" t="inlineStr">
        <is>
          <t>DALARNAS LÄN</t>
        </is>
      </c>
      <c r="E28" t="inlineStr">
        <is>
          <t>ORSA</t>
        </is>
      </c>
      <c r="F28" t="inlineStr">
        <is>
          <t>Allmännings- och besparingsskogar</t>
        </is>
      </c>
      <c r="G28" t="n">
        <v>2.7</v>
      </c>
      <c r="H28" t="n">
        <v>1</v>
      </c>
      <c r="I28" t="n">
        <v>2</v>
      </c>
      <c r="J28" t="n">
        <v>3</v>
      </c>
      <c r="K28" t="n">
        <v>1</v>
      </c>
      <c r="L28" t="n">
        <v>0</v>
      </c>
      <c r="M28" t="n">
        <v>0</v>
      </c>
      <c r="N28" t="n">
        <v>0</v>
      </c>
      <c r="O28" t="n">
        <v>4</v>
      </c>
      <c r="P28" t="n">
        <v>1</v>
      </c>
      <c r="Q28" t="n">
        <v>6</v>
      </c>
      <c r="R28" s="2" t="inlineStr">
        <is>
          <t>Knärot
Dvärgbägarlav
Kolflarnlav
Vedskivlav
Dropptaggsvamp
Vedticka</t>
        </is>
      </c>
      <c r="S28">
        <f>HYPERLINK("https://klasma.github.io/Logging_2034/artfynd/A 22647-2022 artfynd.xlsx", "A 22647-2022")</f>
        <v/>
      </c>
      <c r="T28">
        <f>HYPERLINK("https://klasma.github.io/Logging_2034/kartor/A 22647-2022 karta.png", "A 22647-2022")</f>
        <v/>
      </c>
      <c r="U28">
        <f>HYPERLINK("https://klasma.github.io/Logging_2034/knärot/A 22647-2022 karta knärot.png", "A 22647-2022")</f>
        <v/>
      </c>
      <c r="V28">
        <f>HYPERLINK("https://klasma.github.io/Logging_2034/klagomål/A 22647-2022 FSC-klagomål.docx", "A 22647-2022")</f>
        <v/>
      </c>
      <c r="W28">
        <f>HYPERLINK("https://klasma.github.io/Logging_2034/klagomålsmail/A 22647-2022 FSC-klagomål mail.docx", "A 22647-2022")</f>
        <v/>
      </c>
      <c r="X28">
        <f>HYPERLINK("https://klasma.github.io/Logging_2034/tillsyn/A 22647-2022 tillsynsbegäran.docx", "A 22647-2022")</f>
        <v/>
      </c>
      <c r="Y28">
        <f>HYPERLINK("https://klasma.github.io/Logging_2034/tillsynsmail/A 22647-2022 tillsynsbegäran mail.docx", "A 22647-2022")</f>
        <v/>
      </c>
    </row>
    <row r="29" ht="15" customHeight="1">
      <c r="A29" t="inlineStr">
        <is>
          <t>A 34197-2023</t>
        </is>
      </c>
      <c r="B29" s="1" t="n">
        <v>45138</v>
      </c>
      <c r="C29" s="1" t="n">
        <v>45576</v>
      </c>
      <c r="D29" t="inlineStr">
        <is>
          <t>DALARNAS LÄN</t>
        </is>
      </c>
      <c r="E29" t="inlineStr">
        <is>
          <t>ORSA</t>
        </is>
      </c>
      <c r="F29" t="inlineStr">
        <is>
          <t>Allmännings- och besparingsskogar</t>
        </is>
      </c>
      <c r="G29" t="n">
        <v>7.7</v>
      </c>
      <c r="H29" t="n">
        <v>1</v>
      </c>
      <c r="I29" t="n">
        <v>1</v>
      </c>
      <c r="J29" t="n">
        <v>5</v>
      </c>
      <c r="K29" t="n">
        <v>0</v>
      </c>
      <c r="L29" t="n">
        <v>0</v>
      </c>
      <c r="M29" t="n">
        <v>0</v>
      </c>
      <c r="N29" t="n">
        <v>0</v>
      </c>
      <c r="O29" t="n">
        <v>5</v>
      </c>
      <c r="P29" t="n">
        <v>0</v>
      </c>
      <c r="Q29" t="n">
        <v>6</v>
      </c>
      <c r="R29" s="2" t="inlineStr">
        <is>
          <t>Garnlav
Kolflarnlav
Tretåig hackspett
Vedskivlav
Violettgrå tagellav
Dropptaggsvamp</t>
        </is>
      </c>
      <c r="S29">
        <f>HYPERLINK("https://klasma.github.io/Logging_2034/artfynd/A 34197-2023 artfynd.xlsx", "A 34197-2023")</f>
        <v/>
      </c>
      <c r="T29">
        <f>HYPERLINK("https://klasma.github.io/Logging_2034/kartor/A 34197-2023 karta.png", "A 34197-2023")</f>
        <v/>
      </c>
      <c r="V29">
        <f>HYPERLINK("https://klasma.github.io/Logging_2034/klagomål/A 34197-2023 FSC-klagomål.docx", "A 34197-2023")</f>
        <v/>
      </c>
      <c r="W29">
        <f>HYPERLINK("https://klasma.github.io/Logging_2034/klagomålsmail/A 34197-2023 FSC-klagomål mail.docx", "A 34197-2023")</f>
        <v/>
      </c>
      <c r="X29">
        <f>HYPERLINK("https://klasma.github.io/Logging_2034/tillsyn/A 34197-2023 tillsynsbegäran.docx", "A 34197-2023")</f>
        <v/>
      </c>
      <c r="Y29">
        <f>HYPERLINK("https://klasma.github.io/Logging_2034/tillsynsmail/A 34197-2023 tillsynsbegäran mail.docx", "A 34197-2023")</f>
        <v/>
      </c>
      <c r="Z29">
        <f>HYPERLINK("https://klasma.github.io/Logging_2034/fåglar/A 34197-2023 prioriterade fågelarter.docx", "A 34197-2023")</f>
        <v/>
      </c>
    </row>
    <row r="30" ht="15" customHeight="1">
      <c r="A30" t="inlineStr">
        <is>
          <t>A 35557-2023</t>
        </is>
      </c>
      <c r="B30" s="1" t="n">
        <v>45147</v>
      </c>
      <c r="C30" s="1" t="n">
        <v>45576</v>
      </c>
      <c r="D30" t="inlineStr">
        <is>
          <t>DALARNAS LÄN</t>
        </is>
      </c>
      <c r="E30" t="inlineStr">
        <is>
          <t>ORSA</t>
        </is>
      </c>
      <c r="F30" t="inlineStr">
        <is>
          <t>Allmännings- och besparingsskogar</t>
        </is>
      </c>
      <c r="G30" t="n">
        <v>3.4</v>
      </c>
      <c r="H30" t="n">
        <v>2</v>
      </c>
      <c r="I30" t="n">
        <v>0</v>
      </c>
      <c r="J30" t="n">
        <v>6</v>
      </c>
      <c r="K30" t="n">
        <v>0</v>
      </c>
      <c r="L30" t="n">
        <v>0</v>
      </c>
      <c r="M30" t="n">
        <v>0</v>
      </c>
      <c r="N30" t="n">
        <v>0</v>
      </c>
      <c r="O30" t="n">
        <v>6</v>
      </c>
      <c r="P30" t="n">
        <v>0</v>
      </c>
      <c r="Q30" t="n">
        <v>6</v>
      </c>
      <c r="R30" s="2" t="inlineStr">
        <is>
          <t>Garnlav
Lunglav
Talltita
Tretåig hackspett
Vedskivlav
Violettgrå tagellav</t>
        </is>
      </c>
      <c r="S30">
        <f>HYPERLINK("https://klasma.github.io/Logging_2034/artfynd/A 35557-2023 artfynd.xlsx", "A 35557-2023")</f>
        <v/>
      </c>
      <c r="T30">
        <f>HYPERLINK("https://klasma.github.io/Logging_2034/kartor/A 35557-2023 karta.png", "A 35557-2023")</f>
        <v/>
      </c>
      <c r="V30">
        <f>HYPERLINK("https://klasma.github.io/Logging_2034/klagomål/A 35557-2023 FSC-klagomål.docx", "A 35557-2023")</f>
        <v/>
      </c>
      <c r="W30">
        <f>HYPERLINK("https://klasma.github.io/Logging_2034/klagomålsmail/A 35557-2023 FSC-klagomål mail.docx", "A 35557-2023")</f>
        <v/>
      </c>
      <c r="X30">
        <f>HYPERLINK("https://klasma.github.io/Logging_2034/tillsyn/A 35557-2023 tillsynsbegäran.docx", "A 35557-2023")</f>
        <v/>
      </c>
      <c r="Y30">
        <f>HYPERLINK("https://klasma.github.io/Logging_2034/tillsynsmail/A 35557-2023 tillsynsbegäran mail.docx", "A 35557-2023")</f>
        <v/>
      </c>
      <c r="Z30">
        <f>HYPERLINK("https://klasma.github.io/Logging_2034/fåglar/A 35557-2023 prioriterade fågelarter.docx", "A 35557-2023")</f>
        <v/>
      </c>
    </row>
    <row r="31" ht="15" customHeight="1">
      <c r="A31" t="inlineStr">
        <is>
          <t>A 11064-2024</t>
        </is>
      </c>
      <c r="B31" s="1" t="n">
        <v>45370</v>
      </c>
      <c r="C31" s="1" t="n">
        <v>45576</v>
      </c>
      <c r="D31" t="inlineStr">
        <is>
          <t>DALARNAS LÄN</t>
        </is>
      </c>
      <c r="E31" t="inlineStr">
        <is>
          <t>ORSA</t>
        </is>
      </c>
      <c r="G31" t="n">
        <v>26</v>
      </c>
      <c r="H31" t="n">
        <v>0</v>
      </c>
      <c r="I31" t="n">
        <v>2</v>
      </c>
      <c r="J31" t="n">
        <v>3</v>
      </c>
      <c r="K31" t="n">
        <v>1</v>
      </c>
      <c r="L31" t="n">
        <v>0</v>
      </c>
      <c r="M31" t="n">
        <v>0</v>
      </c>
      <c r="N31" t="n">
        <v>0</v>
      </c>
      <c r="O31" t="n">
        <v>4</v>
      </c>
      <c r="P31" t="n">
        <v>1</v>
      </c>
      <c r="Q31" t="n">
        <v>6</v>
      </c>
      <c r="R31" s="2" t="inlineStr">
        <is>
          <t>Gräddporing
Garnlav
Kolflarnlav
Vedskivlav
Mindre märgborre
Skinnlav</t>
        </is>
      </c>
      <c r="S31">
        <f>HYPERLINK("https://klasma.github.io/Logging_2034/artfynd/A 11064-2024 artfynd.xlsx", "A 11064-2024")</f>
        <v/>
      </c>
      <c r="T31">
        <f>HYPERLINK("https://klasma.github.io/Logging_2034/kartor/A 11064-2024 karta.png", "A 11064-2024")</f>
        <v/>
      </c>
      <c r="V31">
        <f>HYPERLINK("https://klasma.github.io/Logging_2034/klagomål/A 11064-2024 FSC-klagomål.docx", "A 11064-2024")</f>
        <v/>
      </c>
      <c r="W31">
        <f>HYPERLINK("https://klasma.github.io/Logging_2034/klagomålsmail/A 11064-2024 FSC-klagomål mail.docx", "A 11064-2024")</f>
        <v/>
      </c>
      <c r="X31">
        <f>HYPERLINK("https://klasma.github.io/Logging_2034/tillsyn/A 11064-2024 tillsynsbegäran.docx", "A 11064-2024")</f>
        <v/>
      </c>
      <c r="Y31">
        <f>HYPERLINK("https://klasma.github.io/Logging_2034/tillsynsmail/A 11064-2024 tillsynsbegäran mail.docx", "A 11064-2024")</f>
        <v/>
      </c>
    </row>
    <row r="32" ht="15" customHeight="1">
      <c r="A32" t="inlineStr">
        <is>
          <t>A 50728-2022</t>
        </is>
      </c>
      <c r="B32" s="1" t="n">
        <v>44867</v>
      </c>
      <c r="C32" s="1" t="n">
        <v>45576</v>
      </c>
      <c r="D32" t="inlineStr">
        <is>
          <t>DALARNAS LÄN</t>
        </is>
      </c>
      <c r="E32" t="inlineStr">
        <is>
          <t>ORSA</t>
        </is>
      </c>
      <c r="F32" t="inlineStr">
        <is>
          <t>Allmännings- och besparingsskogar</t>
        </is>
      </c>
      <c r="G32" t="n">
        <v>1.8</v>
      </c>
      <c r="H32" t="n">
        <v>0</v>
      </c>
      <c r="I32" t="n">
        <v>1</v>
      </c>
      <c r="J32" t="n">
        <v>4</v>
      </c>
      <c r="K32" t="n">
        <v>0</v>
      </c>
      <c r="L32" t="n">
        <v>0</v>
      </c>
      <c r="M32" t="n">
        <v>0</v>
      </c>
      <c r="N32" t="n">
        <v>0</v>
      </c>
      <c r="O32" t="n">
        <v>4</v>
      </c>
      <c r="P32" t="n">
        <v>0</v>
      </c>
      <c r="Q32" t="n">
        <v>5</v>
      </c>
      <c r="R32" s="2" t="inlineStr">
        <is>
          <t>Garnlav
Granticka
Lunglav
Skrovellav
Stuplav</t>
        </is>
      </c>
      <c r="S32">
        <f>HYPERLINK("https://klasma.github.io/Logging_2034/artfynd/A 50728-2022 artfynd.xlsx", "A 50728-2022")</f>
        <v/>
      </c>
      <c r="T32">
        <f>HYPERLINK("https://klasma.github.io/Logging_2034/kartor/A 50728-2022 karta.png", "A 50728-2022")</f>
        <v/>
      </c>
      <c r="V32">
        <f>HYPERLINK("https://klasma.github.io/Logging_2034/klagomål/A 50728-2022 FSC-klagomål.docx", "A 50728-2022")</f>
        <v/>
      </c>
      <c r="W32">
        <f>HYPERLINK("https://klasma.github.io/Logging_2034/klagomålsmail/A 50728-2022 FSC-klagomål mail.docx", "A 50728-2022")</f>
        <v/>
      </c>
      <c r="X32">
        <f>HYPERLINK("https://klasma.github.io/Logging_2034/tillsyn/A 50728-2022 tillsynsbegäran.docx", "A 50728-2022")</f>
        <v/>
      </c>
      <c r="Y32">
        <f>HYPERLINK("https://klasma.github.io/Logging_2034/tillsynsmail/A 50728-2022 tillsynsbegäran mail.docx", "A 50728-2022")</f>
        <v/>
      </c>
    </row>
    <row r="33" ht="15" customHeight="1">
      <c r="A33" t="inlineStr">
        <is>
          <t>A 40197-2023</t>
        </is>
      </c>
      <c r="B33" s="1" t="n">
        <v>45169</v>
      </c>
      <c r="C33" s="1" t="n">
        <v>45576</v>
      </c>
      <c r="D33" t="inlineStr">
        <is>
          <t>DALARNAS LÄN</t>
        </is>
      </c>
      <c r="E33" t="inlineStr">
        <is>
          <t>ORSA</t>
        </is>
      </c>
      <c r="F33" t="inlineStr">
        <is>
          <t>Allmännings- och besparingsskogar</t>
        </is>
      </c>
      <c r="G33" t="n">
        <v>6.2</v>
      </c>
      <c r="H33" t="n">
        <v>0</v>
      </c>
      <c r="I33" t="n">
        <v>0</v>
      </c>
      <c r="J33" t="n">
        <v>5</v>
      </c>
      <c r="K33" t="n">
        <v>0</v>
      </c>
      <c r="L33" t="n">
        <v>0</v>
      </c>
      <c r="M33" t="n">
        <v>0</v>
      </c>
      <c r="N33" t="n">
        <v>0</v>
      </c>
      <c r="O33" t="n">
        <v>5</v>
      </c>
      <c r="P33" t="n">
        <v>0</v>
      </c>
      <c r="Q33" t="n">
        <v>5</v>
      </c>
      <c r="R33" s="2" t="inlineStr">
        <is>
          <t>Garnlav
Halmgul örnlav
Skrovellav
Ullticka
Violettgrå tagellav</t>
        </is>
      </c>
      <c r="S33">
        <f>HYPERLINK("https://klasma.github.io/Logging_2034/artfynd/A 40197-2023 artfynd.xlsx", "A 40197-2023")</f>
        <v/>
      </c>
      <c r="T33">
        <f>HYPERLINK("https://klasma.github.io/Logging_2034/kartor/A 40197-2023 karta.png", "A 40197-2023")</f>
        <v/>
      </c>
      <c r="V33">
        <f>HYPERLINK("https://klasma.github.io/Logging_2034/klagomål/A 40197-2023 FSC-klagomål.docx", "A 40197-2023")</f>
        <v/>
      </c>
      <c r="W33">
        <f>HYPERLINK("https://klasma.github.io/Logging_2034/klagomålsmail/A 40197-2023 FSC-klagomål mail.docx", "A 40197-2023")</f>
        <v/>
      </c>
      <c r="X33">
        <f>HYPERLINK("https://klasma.github.io/Logging_2034/tillsyn/A 40197-2023 tillsynsbegäran.docx", "A 40197-2023")</f>
        <v/>
      </c>
      <c r="Y33">
        <f>HYPERLINK("https://klasma.github.io/Logging_2034/tillsynsmail/A 40197-2023 tillsynsbegäran mail.docx", "A 40197-2023")</f>
        <v/>
      </c>
    </row>
    <row r="34" ht="15" customHeight="1">
      <c r="A34" t="inlineStr">
        <is>
          <t>A 44628-2023</t>
        </is>
      </c>
      <c r="B34" s="1" t="n">
        <v>45189</v>
      </c>
      <c r="C34" s="1" t="n">
        <v>45576</v>
      </c>
      <c r="D34" t="inlineStr">
        <is>
          <t>DALARNAS LÄN</t>
        </is>
      </c>
      <c r="E34" t="inlineStr">
        <is>
          <t>ORSA</t>
        </is>
      </c>
      <c r="F34" t="inlineStr">
        <is>
          <t>Bergvik skog öst AB</t>
        </is>
      </c>
      <c r="G34" t="n">
        <v>12.3</v>
      </c>
      <c r="H34" t="n">
        <v>1</v>
      </c>
      <c r="I34" t="n">
        <v>1</v>
      </c>
      <c r="J34" t="n">
        <v>4</v>
      </c>
      <c r="K34" t="n">
        <v>0</v>
      </c>
      <c r="L34" t="n">
        <v>0</v>
      </c>
      <c r="M34" t="n">
        <v>0</v>
      </c>
      <c r="N34" t="n">
        <v>0</v>
      </c>
      <c r="O34" t="n">
        <v>4</v>
      </c>
      <c r="P34" t="n">
        <v>0</v>
      </c>
      <c r="Q34" t="n">
        <v>5</v>
      </c>
      <c r="R34" s="2" t="inlineStr">
        <is>
          <t>Garnlav
Kolflarnlav
Tretåig hackspett
Violettgrå tagellav
Kambräken</t>
        </is>
      </c>
      <c r="S34">
        <f>HYPERLINK("https://klasma.github.io/Logging_2034/artfynd/A 44628-2023 artfynd.xlsx", "A 44628-2023")</f>
        <v/>
      </c>
      <c r="T34">
        <f>HYPERLINK("https://klasma.github.io/Logging_2034/kartor/A 44628-2023 karta.png", "A 44628-2023")</f>
        <v/>
      </c>
      <c r="V34">
        <f>HYPERLINK("https://klasma.github.io/Logging_2034/klagomål/A 44628-2023 FSC-klagomål.docx", "A 44628-2023")</f>
        <v/>
      </c>
      <c r="W34">
        <f>HYPERLINK("https://klasma.github.io/Logging_2034/klagomålsmail/A 44628-2023 FSC-klagomål mail.docx", "A 44628-2023")</f>
        <v/>
      </c>
      <c r="X34">
        <f>HYPERLINK("https://klasma.github.io/Logging_2034/tillsyn/A 44628-2023 tillsynsbegäran.docx", "A 44628-2023")</f>
        <v/>
      </c>
      <c r="Y34">
        <f>HYPERLINK("https://klasma.github.io/Logging_2034/tillsynsmail/A 44628-2023 tillsynsbegäran mail.docx", "A 44628-2023")</f>
        <v/>
      </c>
      <c r="Z34">
        <f>HYPERLINK("https://klasma.github.io/Logging_2034/fåglar/A 44628-2023 prioriterade fågelarter.docx", "A 44628-2023")</f>
        <v/>
      </c>
    </row>
    <row r="35" ht="15" customHeight="1">
      <c r="A35" t="inlineStr">
        <is>
          <t>A 3421-2021</t>
        </is>
      </c>
      <c r="B35" s="1" t="n">
        <v>44218</v>
      </c>
      <c r="C35" s="1" t="n">
        <v>45576</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33366-2023</t>
        </is>
      </c>
      <c r="B36" s="1" t="n">
        <v>45128</v>
      </c>
      <c r="C36" s="1" t="n">
        <v>45576</v>
      </c>
      <c r="D36" t="inlineStr">
        <is>
          <t>DALARNAS LÄN</t>
        </is>
      </c>
      <c r="E36" t="inlineStr">
        <is>
          <t>ORSA</t>
        </is>
      </c>
      <c r="F36" t="inlineStr">
        <is>
          <t>Bergvik skog väst AB</t>
        </is>
      </c>
      <c r="G36" t="n">
        <v>3.5</v>
      </c>
      <c r="H36" t="n">
        <v>1</v>
      </c>
      <c r="I36" t="n">
        <v>0</v>
      </c>
      <c r="J36" t="n">
        <v>4</v>
      </c>
      <c r="K36" t="n">
        <v>0</v>
      </c>
      <c r="L36" t="n">
        <v>0</v>
      </c>
      <c r="M36" t="n">
        <v>0</v>
      </c>
      <c r="N36" t="n">
        <v>0</v>
      </c>
      <c r="O36" t="n">
        <v>4</v>
      </c>
      <c r="P36" t="n">
        <v>0</v>
      </c>
      <c r="Q36" t="n">
        <v>4</v>
      </c>
      <c r="R36" s="2" t="inlineStr">
        <is>
          <t>Garnlav
Granticka
Tretåig hackspett
Violettgrå tagellav</t>
        </is>
      </c>
      <c r="S36">
        <f>HYPERLINK("https://klasma.github.io/Logging_2034/artfynd/A 33366-2023 artfynd.xlsx", "A 33366-2023")</f>
        <v/>
      </c>
      <c r="T36">
        <f>HYPERLINK("https://klasma.github.io/Logging_2034/kartor/A 33366-2023 karta.png", "A 33366-2023")</f>
        <v/>
      </c>
      <c r="V36">
        <f>HYPERLINK("https://klasma.github.io/Logging_2034/klagomål/A 33366-2023 FSC-klagomål.docx", "A 33366-2023")</f>
        <v/>
      </c>
      <c r="W36">
        <f>HYPERLINK("https://klasma.github.io/Logging_2034/klagomålsmail/A 33366-2023 FSC-klagomål mail.docx", "A 33366-2023")</f>
        <v/>
      </c>
      <c r="X36">
        <f>HYPERLINK("https://klasma.github.io/Logging_2034/tillsyn/A 33366-2023 tillsynsbegäran.docx", "A 33366-2023")</f>
        <v/>
      </c>
      <c r="Y36">
        <f>HYPERLINK("https://klasma.github.io/Logging_2034/tillsynsmail/A 33366-2023 tillsynsbegäran mail.docx", "A 33366-2023")</f>
        <v/>
      </c>
      <c r="Z36">
        <f>HYPERLINK("https://klasma.github.io/Logging_2034/fåglar/A 33366-2023 prioriterade fågelarter.docx", "A 33366-2023")</f>
        <v/>
      </c>
    </row>
    <row r="37" ht="15" customHeight="1">
      <c r="A37" t="inlineStr">
        <is>
          <t>A 38458-2023</t>
        </is>
      </c>
      <c r="B37" s="1" t="n">
        <v>45162</v>
      </c>
      <c r="C37" s="1" t="n">
        <v>45576</v>
      </c>
      <c r="D37" t="inlineStr">
        <is>
          <t>DALARNAS LÄN</t>
        </is>
      </c>
      <c r="E37" t="inlineStr">
        <is>
          <t>ORSA</t>
        </is>
      </c>
      <c r="F37" t="inlineStr">
        <is>
          <t>Allmännings- och besparingsskogar</t>
        </is>
      </c>
      <c r="G37" t="n">
        <v>1.4</v>
      </c>
      <c r="H37" t="n">
        <v>1</v>
      </c>
      <c r="I37" t="n">
        <v>1</v>
      </c>
      <c r="J37" t="n">
        <v>3</v>
      </c>
      <c r="K37" t="n">
        <v>0</v>
      </c>
      <c r="L37" t="n">
        <v>0</v>
      </c>
      <c r="M37" t="n">
        <v>0</v>
      </c>
      <c r="N37" t="n">
        <v>0</v>
      </c>
      <c r="O37" t="n">
        <v>3</v>
      </c>
      <c r="P37" t="n">
        <v>0</v>
      </c>
      <c r="Q37" t="n">
        <v>4</v>
      </c>
      <c r="R37" s="2" t="inlineStr">
        <is>
          <t>Garnlav
Tretåig hackspett
Violettgrå tagellav
Bronshjon</t>
        </is>
      </c>
      <c r="S37">
        <f>HYPERLINK("https://klasma.github.io/Logging_2034/artfynd/A 38458-2023 artfynd.xlsx", "A 38458-2023")</f>
        <v/>
      </c>
      <c r="T37">
        <f>HYPERLINK("https://klasma.github.io/Logging_2034/kartor/A 38458-2023 karta.png", "A 38458-2023")</f>
        <v/>
      </c>
      <c r="V37">
        <f>HYPERLINK("https://klasma.github.io/Logging_2034/klagomål/A 38458-2023 FSC-klagomål.docx", "A 38458-2023")</f>
        <v/>
      </c>
      <c r="W37">
        <f>HYPERLINK("https://klasma.github.io/Logging_2034/klagomålsmail/A 38458-2023 FSC-klagomål mail.docx", "A 38458-2023")</f>
        <v/>
      </c>
      <c r="X37">
        <f>HYPERLINK("https://klasma.github.io/Logging_2034/tillsyn/A 38458-2023 tillsynsbegäran.docx", "A 38458-2023")</f>
        <v/>
      </c>
      <c r="Y37">
        <f>HYPERLINK("https://klasma.github.io/Logging_2034/tillsynsmail/A 38458-2023 tillsynsbegäran mail.docx", "A 38458-2023")</f>
        <v/>
      </c>
      <c r="Z37">
        <f>HYPERLINK("https://klasma.github.io/Logging_2034/fåglar/A 38458-2023 prioriterade fågelarter.docx", "A 38458-2023")</f>
        <v/>
      </c>
    </row>
    <row r="38" ht="15" customHeight="1">
      <c r="A38" t="inlineStr">
        <is>
          <t>A 35570-2024</t>
        </is>
      </c>
      <c r="B38" s="1" t="n">
        <v>45531</v>
      </c>
      <c r="C38" s="1" t="n">
        <v>45576</v>
      </c>
      <c r="D38" t="inlineStr">
        <is>
          <t>DALARNAS LÄN</t>
        </is>
      </c>
      <c r="E38" t="inlineStr">
        <is>
          <t>ORSA</t>
        </is>
      </c>
      <c r="G38" t="n">
        <v>3.3</v>
      </c>
      <c r="H38" t="n">
        <v>1</v>
      </c>
      <c r="I38" t="n">
        <v>1</v>
      </c>
      <c r="J38" t="n">
        <v>3</v>
      </c>
      <c r="K38" t="n">
        <v>0</v>
      </c>
      <c r="L38" t="n">
        <v>0</v>
      </c>
      <c r="M38" t="n">
        <v>0</v>
      </c>
      <c r="N38" t="n">
        <v>0</v>
      </c>
      <c r="O38" t="n">
        <v>3</v>
      </c>
      <c r="P38" t="n">
        <v>0</v>
      </c>
      <c r="Q38" t="n">
        <v>4</v>
      </c>
      <c r="R38" s="2" t="inlineStr">
        <is>
          <t>Garnlav
Tretåig hackspett
Violettgrå tagellav
Dropptaggsvamp</t>
        </is>
      </c>
      <c r="S38">
        <f>HYPERLINK("https://klasma.github.io/Logging_2034/artfynd/A 35570-2024 artfynd.xlsx", "A 35570-2024")</f>
        <v/>
      </c>
      <c r="T38">
        <f>HYPERLINK("https://klasma.github.io/Logging_2034/kartor/A 35570-2024 karta.png", "A 35570-2024")</f>
        <v/>
      </c>
      <c r="V38">
        <f>HYPERLINK("https://klasma.github.io/Logging_2034/klagomål/A 35570-2024 FSC-klagomål.docx", "A 35570-2024")</f>
        <v/>
      </c>
      <c r="W38">
        <f>HYPERLINK("https://klasma.github.io/Logging_2034/klagomålsmail/A 35570-2024 FSC-klagomål mail.docx", "A 35570-2024")</f>
        <v/>
      </c>
      <c r="X38">
        <f>HYPERLINK("https://klasma.github.io/Logging_2034/tillsyn/A 35570-2024 tillsynsbegäran.docx", "A 35570-2024")</f>
        <v/>
      </c>
      <c r="Y38">
        <f>HYPERLINK("https://klasma.github.io/Logging_2034/tillsynsmail/A 35570-2024 tillsynsbegäran mail.docx", "A 35570-2024")</f>
        <v/>
      </c>
      <c r="Z38">
        <f>HYPERLINK("https://klasma.github.io/Logging_2034/fåglar/A 35570-2024 prioriterade fågelarter.docx", "A 35570-2024")</f>
        <v/>
      </c>
    </row>
    <row r="39" ht="15" customHeight="1">
      <c r="A39" t="inlineStr">
        <is>
          <t>A 42651-2020</t>
        </is>
      </c>
      <c r="B39" s="1" t="n">
        <v>44077</v>
      </c>
      <c r="C39" s="1" t="n">
        <v>45576</v>
      </c>
      <c r="D39" t="inlineStr">
        <is>
          <t>DALARNAS LÄN</t>
        </is>
      </c>
      <c r="E39" t="inlineStr">
        <is>
          <t>ORSA</t>
        </is>
      </c>
      <c r="G39" t="n">
        <v>3.9</v>
      </c>
      <c r="H39" t="n">
        <v>0</v>
      </c>
      <c r="I39" t="n">
        <v>0</v>
      </c>
      <c r="J39" t="n">
        <v>3</v>
      </c>
      <c r="K39" t="n">
        <v>0</v>
      </c>
      <c r="L39" t="n">
        <v>0</v>
      </c>
      <c r="M39" t="n">
        <v>0</v>
      </c>
      <c r="N39" t="n">
        <v>0</v>
      </c>
      <c r="O39" t="n">
        <v>3</v>
      </c>
      <c r="P39" t="n">
        <v>0</v>
      </c>
      <c r="Q39" t="n">
        <v>3</v>
      </c>
      <c r="R39" s="2" t="inlineStr">
        <is>
          <t>Skrovellav
Tallticka
Vedflamlav</t>
        </is>
      </c>
      <c r="S39">
        <f>HYPERLINK("https://klasma.github.io/Logging_2034/artfynd/A 42651-2020 artfynd.xlsx", "A 42651-2020")</f>
        <v/>
      </c>
      <c r="T39">
        <f>HYPERLINK("https://klasma.github.io/Logging_2034/kartor/A 42651-2020 karta.png", "A 42651-2020")</f>
        <v/>
      </c>
      <c r="V39">
        <f>HYPERLINK("https://klasma.github.io/Logging_2034/klagomål/A 42651-2020 FSC-klagomål.docx", "A 42651-2020")</f>
        <v/>
      </c>
      <c r="W39">
        <f>HYPERLINK("https://klasma.github.io/Logging_2034/klagomålsmail/A 42651-2020 FSC-klagomål mail.docx", "A 42651-2020")</f>
        <v/>
      </c>
      <c r="X39">
        <f>HYPERLINK("https://klasma.github.io/Logging_2034/tillsyn/A 42651-2020 tillsynsbegäran.docx", "A 42651-2020")</f>
        <v/>
      </c>
      <c r="Y39">
        <f>HYPERLINK("https://klasma.github.io/Logging_2034/tillsynsmail/A 42651-2020 tillsynsbegäran mail.docx", "A 42651-2020")</f>
        <v/>
      </c>
    </row>
    <row r="40" ht="15" customHeight="1">
      <c r="A40" t="inlineStr">
        <is>
          <t>A 30654-2024</t>
        </is>
      </c>
      <c r="B40" s="1" t="n">
        <v>45495</v>
      </c>
      <c r="C40" s="1" t="n">
        <v>45576</v>
      </c>
      <c r="D40" t="inlineStr">
        <is>
          <t>DALARNAS LÄN</t>
        </is>
      </c>
      <c r="E40" t="inlineStr">
        <is>
          <t>ORSA</t>
        </is>
      </c>
      <c r="F40" t="inlineStr">
        <is>
          <t>Allmännings- och besparingsskogar</t>
        </is>
      </c>
      <c r="G40" t="n">
        <v>1.9</v>
      </c>
      <c r="H40" t="n">
        <v>1</v>
      </c>
      <c r="I40" t="n">
        <v>0</v>
      </c>
      <c r="J40" t="n">
        <v>2</v>
      </c>
      <c r="K40" t="n">
        <v>1</v>
      </c>
      <c r="L40" t="n">
        <v>0</v>
      </c>
      <c r="M40" t="n">
        <v>0</v>
      </c>
      <c r="N40" t="n">
        <v>0</v>
      </c>
      <c r="O40" t="n">
        <v>3</v>
      </c>
      <c r="P40" t="n">
        <v>1</v>
      </c>
      <c r="Q40" t="n">
        <v>3</v>
      </c>
      <c r="R40" s="2" t="inlineStr">
        <is>
          <t>Knärot
Garnlav
Granticka</t>
        </is>
      </c>
      <c r="S40">
        <f>HYPERLINK("https://klasma.github.io/Logging_2034/artfynd/A 30654-2024 artfynd.xlsx", "A 30654-2024")</f>
        <v/>
      </c>
      <c r="T40">
        <f>HYPERLINK("https://klasma.github.io/Logging_2034/kartor/A 30654-2024 karta.png", "A 30654-2024")</f>
        <v/>
      </c>
      <c r="U40">
        <f>HYPERLINK("https://klasma.github.io/Logging_2034/knärot/A 30654-2024 karta knärot.png", "A 30654-2024")</f>
        <v/>
      </c>
      <c r="V40">
        <f>HYPERLINK("https://klasma.github.io/Logging_2034/klagomål/A 30654-2024 FSC-klagomål.docx", "A 30654-2024")</f>
        <v/>
      </c>
      <c r="W40">
        <f>HYPERLINK("https://klasma.github.io/Logging_2034/klagomålsmail/A 30654-2024 FSC-klagomål mail.docx", "A 30654-2024")</f>
        <v/>
      </c>
      <c r="X40">
        <f>HYPERLINK("https://klasma.github.io/Logging_2034/tillsyn/A 30654-2024 tillsynsbegäran.docx", "A 30654-2024")</f>
        <v/>
      </c>
      <c r="Y40">
        <f>HYPERLINK("https://klasma.github.io/Logging_2034/tillsynsmail/A 30654-2024 tillsynsbegäran mail.docx", "A 30654-2024")</f>
        <v/>
      </c>
    </row>
    <row r="41" ht="15" customHeight="1">
      <c r="A41" t="inlineStr">
        <is>
          <t>A 63810-2021</t>
        </is>
      </c>
      <c r="B41" s="1" t="n">
        <v>44509</v>
      </c>
      <c r="C41" s="1" t="n">
        <v>45576</v>
      </c>
      <c r="D41" t="inlineStr">
        <is>
          <t>DALARNAS LÄN</t>
        </is>
      </c>
      <c r="E41" t="inlineStr">
        <is>
          <t>ORSA</t>
        </is>
      </c>
      <c r="G41" t="n">
        <v>18.4</v>
      </c>
      <c r="H41" t="n">
        <v>0</v>
      </c>
      <c r="I41" t="n">
        <v>0</v>
      </c>
      <c r="J41" t="n">
        <v>2</v>
      </c>
      <c r="K41" t="n">
        <v>0</v>
      </c>
      <c r="L41" t="n">
        <v>0</v>
      </c>
      <c r="M41" t="n">
        <v>0</v>
      </c>
      <c r="N41" t="n">
        <v>0</v>
      </c>
      <c r="O41" t="n">
        <v>2</v>
      </c>
      <c r="P41" t="n">
        <v>0</v>
      </c>
      <c r="Q41" t="n">
        <v>2</v>
      </c>
      <c r="R41" s="2" t="inlineStr">
        <is>
          <t>Garnlav
Violettgrå tagellav</t>
        </is>
      </c>
      <c r="S41">
        <f>HYPERLINK("https://klasma.github.io/Logging_2034/artfynd/A 63810-2021 artfynd.xlsx", "A 63810-2021")</f>
        <v/>
      </c>
      <c r="T41">
        <f>HYPERLINK("https://klasma.github.io/Logging_2034/kartor/A 63810-2021 karta.png", "A 63810-2021")</f>
        <v/>
      </c>
      <c r="V41">
        <f>HYPERLINK("https://klasma.github.io/Logging_2034/klagomål/A 63810-2021 FSC-klagomål.docx", "A 63810-2021")</f>
        <v/>
      </c>
      <c r="W41">
        <f>HYPERLINK("https://klasma.github.io/Logging_2034/klagomålsmail/A 63810-2021 FSC-klagomål mail.docx", "A 63810-2021")</f>
        <v/>
      </c>
      <c r="X41">
        <f>HYPERLINK("https://klasma.github.io/Logging_2034/tillsyn/A 63810-2021 tillsynsbegäran.docx", "A 63810-2021")</f>
        <v/>
      </c>
      <c r="Y41">
        <f>HYPERLINK("https://klasma.github.io/Logging_2034/tillsynsmail/A 63810-2021 tillsynsbegäran mail.docx", "A 63810-2021")</f>
        <v/>
      </c>
    </row>
    <row r="42" ht="15" customHeight="1">
      <c r="A42" t="inlineStr">
        <is>
          <t>A 20914-2022</t>
        </is>
      </c>
      <c r="B42" s="1" t="n">
        <v>44701</v>
      </c>
      <c r="C42" s="1" t="n">
        <v>45576</v>
      </c>
      <c r="D42" t="inlineStr">
        <is>
          <t>DALARNAS LÄN</t>
        </is>
      </c>
      <c r="E42" t="inlineStr">
        <is>
          <t>ORSA</t>
        </is>
      </c>
      <c r="F42" t="inlineStr">
        <is>
          <t>Allmännings- och besparingsskogar</t>
        </is>
      </c>
      <c r="G42" t="n">
        <v>32.6</v>
      </c>
      <c r="H42" t="n">
        <v>1</v>
      </c>
      <c r="I42" t="n">
        <v>1</v>
      </c>
      <c r="J42" t="n">
        <v>1</v>
      </c>
      <c r="K42" t="n">
        <v>0</v>
      </c>
      <c r="L42" t="n">
        <v>0</v>
      </c>
      <c r="M42" t="n">
        <v>0</v>
      </c>
      <c r="N42" t="n">
        <v>0</v>
      </c>
      <c r="O42" t="n">
        <v>1</v>
      </c>
      <c r="P42" t="n">
        <v>0</v>
      </c>
      <c r="Q42" t="n">
        <v>2</v>
      </c>
      <c r="R42" s="2" t="inlineStr">
        <is>
          <t>Kungsörn
Vågbandad barkbock</t>
        </is>
      </c>
      <c r="S42">
        <f>HYPERLINK("https://klasma.github.io/Logging_2034/artfynd/A 20914-2022 artfynd.xlsx", "A 20914-2022")</f>
        <v/>
      </c>
      <c r="T42">
        <f>HYPERLINK("https://klasma.github.io/Logging_2034/kartor/A 20914-2022 karta.png", "A 20914-2022")</f>
        <v/>
      </c>
      <c r="V42">
        <f>HYPERLINK("https://klasma.github.io/Logging_2034/klagomål/A 20914-2022 FSC-klagomål.docx", "A 20914-2022")</f>
        <v/>
      </c>
      <c r="W42">
        <f>HYPERLINK("https://klasma.github.io/Logging_2034/klagomålsmail/A 20914-2022 FSC-klagomål mail.docx", "A 20914-2022")</f>
        <v/>
      </c>
      <c r="X42">
        <f>HYPERLINK("https://klasma.github.io/Logging_2034/tillsyn/A 20914-2022 tillsynsbegäran.docx", "A 20914-2022")</f>
        <v/>
      </c>
      <c r="Y42">
        <f>HYPERLINK("https://klasma.github.io/Logging_2034/tillsynsmail/A 20914-2022 tillsynsbegäran mail.docx", "A 20914-2022")</f>
        <v/>
      </c>
      <c r="Z42">
        <f>HYPERLINK("https://klasma.github.io/Logging_2034/fåglar/A 20914-2022 prioriterade fågelarter.docx", "A 20914-2022")</f>
        <v/>
      </c>
    </row>
    <row r="43" ht="15" customHeight="1">
      <c r="A43" t="inlineStr">
        <is>
          <t>A 47714-2022</t>
        </is>
      </c>
      <c r="B43" s="1" t="n">
        <v>44854</v>
      </c>
      <c r="C43" s="1" t="n">
        <v>45576</v>
      </c>
      <c r="D43" t="inlineStr">
        <is>
          <t>DALARNAS LÄN</t>
        </is>
      </c>
      <c r="E43" t="inlineStr">
        <is>
          <t>ORSA</t>
        </is>
      </c>
      <c r="F43" t="inlineStr">
        <is>
          <t>Bergvik skog öst AB</t>
        </is>
      </c>
      <c r="G43" t="n">
        <v>4.6</v>
      </c>
      <c r="H43" t="n">
        <v>2</v>
      </c>
      <c r="I43" t="n">
        <v>1</v>
      </c>
      <c r="J43" t="n">
        <v>1</v>
      </c>
      <c r="K43" t="n">
        <v>0</v>
      </c>
      <c r="L43" t="n">
        <v>0</v>
      </c>
      <c r="M43" t="n">
        <v>0</v>
      </c>
      <c r="N43" t="n">
        <v>0</v>
      </c>
      <c r="O43" t="n">
        <v>1</v>
      </c>
      <c r="P43" t="n">
        <v>0</v>
      </c>
      <c r="Q43" t="n">
        <v>2</v>
      </c>
      <c r="R43" s="2" t="inlineStr">
        <is>
          <t>Talltita
Plattlummer</t>
        </is>
      </c>
      <c r="S43">
        <f>HYPERLINK("https://klasma.github.io/Logging_2034/artfynd/A 47714-2022 artfynd.xlsx", "A 47714-2022")</f>
        <v/>
      </c>
      <c r="T43">
        <f>HYPERLINK("https://klasma.github.io/Logging_2034/kartor/A 47714-2022 karta.png", "A 47714-2022")</f>
        <v/>
      </c>
      <c r="V43">
        <f>HYPERLINK("https://klasma.github.io/Logging_2034/klagomål/A 47714-2022 FSC-klagomål.docx", "A 47714-2022")</f>
        <v/>
      </c>
      <c r="W43">
        <f>HYPERLINK("https://klasma.github.io/Logging_2034/klagomålsmail/A 47714-2022 FSC-klagomål mail.docx", "A 47714-2022")</f>
        <v/>
      </c>
      <c r="X43">
        <f>HYPERLINK("https://klasma.github.io/Logging_2034/tillsyn/A 47714-2022 tillsynsbegäran.docx", "A 47714-2022")</f>
        <v/>
      </c>
      <c r="Y43">
        <f>HYPERLINK("https://klasma.github.io/Logging_2034/tillsynsmail/A 47714-2022 tillsynsbegäran mail.docx", "A 47714-2022")</f>
        <v/>
      </c>
      <c r="Z43">
        <f>HYPERLINK("https://klasma.github.io/Logging_2034/fåglar/A 47714-2022 prioriterade fågelarter.docx", "A 47714-2022")</f>
        <v/>
      </c>
    </row>
    <row r="44" ht="15" customHeight="1">
      <c r="A44" t="inlineStr">
        <is>
          <t>A 48343-2022</t>
        </is>
      </c>
      <c r="B44" s="1" t="n">
        <v>44858</v>
      </c>
      <c r="C44" s="1" t="n">
        <v>45576</v>
      </c>
      <c r="D44" t="inlineStr">
        <is>
          <t>DALARNAS LÄN</t>
        </is>
      </c>
      <c r="E44" t="inlineStr">
        <is>
          <t>ORSA</t>
        </is>
      </c>
      <c r="G44" t="n">
        <v>1.6</v>
      </c>
      <c r="H44" t="n">
        <v>2</v>
      </c>
      <c r="I44" t="n">
        <v>0</v>
      </c>
      <c r="J44" t="n">
        <v>1</v>
      </c>
      <c r="K44" t="n">
        <v>0</v>
      </c>
      <c r="L44" t="n">
        <v>0</v>
      </c>
      <c r="M44" t="n">
        <v>0</v>
      </c>
      <c r="N44" t="n">
        <v>0</v>
      </c>
      <c r="O44" t="n">
        <v>1</v>
      </c>
      <c r="P44" t="n">
        <v>0</v>
      </c>
      <c r="Q44" t="n">
        <v>2</v>
      </c>
      <c r="R44" s="2" t="inlineStr">
        <is>
          <t>Nordfladdermus
Vattenfladdermus</t>
        </is>
      </c>
      <c r="S44">
        <f>HYPERLINK("https://klasma.github.io/Logging_2034/artfynd/A 48343-2022 artfynd.xlsx", "A 48343-2022")</f>
        <v/>
      </c>
      <c r="T44">
        <f>HYPERLINK("https://klasma.github.io/Logging_2034/kartor/A 48343-2022 karta.png", "A 48343-2022")</f>
        <v/>
      </c>
      <c r="V44">
        <f>HYPERLINK("https://klasma.github.io/Logging_2034/klagomål/A 48343-2022 FSC-klagomål.docx", "A 48343-2022")</f>
        <v/>
      </c>
      <c r="W44">
        <f>HYPERLINK("https://klasma.github.io/Logging_2034/klagomålsmail/A 48343-2022 FSC-klagomål mail.docx", "A 48343-2022")</f>
        <v/>
      </c>
      <c r="X44">
        <f>HYPERLINK("https://klasma.github.io/Logging_2034/tillsyn/A 48343-2022 tillsynsbegäran.docx", "A 48343-2022")</f>
        <v/>
      </c>
      <c r="Y44">
        <f>HYPERLINK("https://klasma.github.io/Logging_2034/tillsynsmail/A 48343-2022 tillsynsbegäran mail.docx", "A 48343-2022")</f>
        <v/>
      </c>
    </row>
    <row r="45" ht="15" customHeight="1">
      <c r="A45" t="inlineStr">
        <is>
          <t>A 53629-2022</t>
        </is>
      </c>
      <c r="B45" s="1" t="n">
        <v>44879</v>
      </c>
      <c r="C45" s="1" t="n">
        <v>45576</v>
      </c>
      <c r="D45" t="inlineStr">
        <is>
          <t>DALARNAS LÄN</t>
        </is>
      </c>
      <c r="E45" t="inlineStr">
        <is>
          <t>ORSA</t>
        </is>
      </c>
      <c r="G45" t="n">
        <v>8.199999999999999</v>
      </c>
      <c r="H45" t="n">
        <v>2</v>
      </c>
      <c r="I45" t="n">
        <v>0</v>
      </c>
      <c r="J45" t="n">
        <v>0</v>
      </c>
      <c r="K45" t="n">
        <v>0</v>
      </c>
      <c r="L45" t="n">
        <v>0</v>
      </c>
      <c r="M45" t="n">
        <v>0</v>
      </c>
      <c r="N45" t="n">
        <v>0</v>
      </c>
      <c r="O45" t="n">
        <v>0</v>
      </c>
      <c r="P45" t="n">
        <v>0</v>
      </c>
      <c r="Q45" t="n">
        <v>2</v>
      </c>
      <c r="R45" s="2" t="inlineStr">
        <is>
          <t>Större vattensalamander
Mindre vattensalamander</t>
        </is>
      </c>
      <c r="S45">
        <f>HYPERLINK("https://klasma.github.io/Logging_2034/artfynd/A 53629-2022 artfynd.xlsx", "A 53629-2022")</f>
        <v/>
      </c>
      <c r="T45">
        <f>HYPERLINK("https://klasma.github.io/Logging_2034/kartor/A 53629-2022 karta.png", "A 53629-2022")</f>
        <v/>
      </c>
      <c r="V45">
        <f>HYPERLINK("https://klasma.github.io/Logging_2034/klagomål/A 53629-2022 FSC-klagomål.docx", "A 53629-2022")</f>
        <v/>
      </c>
      <c r="W45">
        <f>HYPERLINK("https://klasma.github.io/Logging_2034/klagomålsmail/A 53629-2022 FSC-klagomål mail.docx", "A 53629-2022")</f>
        <v/>
      </c>
      <c r="X45">
        <f>HYPERLINK("https://klasma.github.io/Logging_2034/tillsyn/A 53629-2022 tillsynsbegäran.docx", "A 53629-2022")</f>
        <v/>
      </c>
      <c r="Y45">
        <f>HYPERLINK("https://klasma.github.io/Logging_2034/tillsynsmail/A 53629-2022 tillsynsbegäran mail.docx", "A 53629-2022")</f>
        <v/>
      </c>
    </row>
    <row r="46" ht="15" customHeight="1">
      <c r="A46" t="inlineStr">
        <is>
          <t>A 44656-2023</t>
        </is>
      </c>
      <c r="B46" s="1" t="n">
        <v>45189</v>
      </c>
      <c r="C46" s="1" t="n">
        <v>45576</v>
      </c>
      <c r="D46" t="inlineStr">
        <is>
          <t>DALARNAS LÄN</t>
        </is>
      </c>
      <c r="E46" t="inlineStr">
        <is>
          <t>ORSA</t>
        </is>
      </c>
      <c r="F46" t="inlineStr">
        <is>
          <t>Bergvik skog öst AB</t>
        </is>
      </c>
      <c r="G46" t="n">
        <v>3.4</v>
      </c>
      <c r="H46" t="n">
        <v>2</v>
      </c>
      <c r="I46" t="n">
        <v>0</v>
      </c>
      <c r="J46" t="n">
        <v>2</v>
      </c>
      <c r="K46" t="n">
        <v>0</v>
      </c>
      <c r="L46" t="n">
        <v>0</v>
      </c>
      <c r="M46" t="n">
        <v>0</v>
      </c>
      <c r="N46" t="n">
        <v>0</v>
      </c>
      <c r="O46" t="n">
        <v>2</v>
      </c>
      <c r="P46" t="n">
        <v>0</v>
      </c>
      <c r="Q46" t="n">
        <v>2</v>
      </c>
      <c r="R46" s="2" t="inlineStr">
        <is>
          <t>Spillkråka
Tretåig hackspett</t>
        </is>
      </c>
      <c r="S46">
        <f>HYPERLINK("https://klasma.github.io/Logging_2034/artfynd/A 44656-2023 artfynd.xlsx", "A 44656-2023")</f>
        <v/>
      </c>
      <c r="T46">
        <f>HYPERLINK("https://klasma.github.io/Logging_2034/kartor/A 44656-2023 karta.png", "A 44656-2023")</f>
        <v/>
      </c>
      <c r="V46">
        <f>HYPERLINK("https://klasma.github.io/Logging_2034/klagomål/A 44656-2023 FSC-klagomål.docx", "A 44656-2023")</f>
        <v/>
      </c>
      <c r="W46">
        <f>HYPERLINK("https://klasma.github.io/Logging_2034/klagomålsmail/A 44656-2023 FSC-klagomål mail.docx", "A 44656-2023")</f>
        <v/>
      </c>
      <c r="X46">
        <f>HYPERLINK("https://klasma.github.io/Logging_2034/tillsyn/A 44656-2023 tillsynsbegäran.docx", "A 44656-2023")</f>
        <v/>
      </c>
      <c r="Y46">
        <f>HYPERLINK("https://klasma.github.io/Logging_2034/tillsynsmail/A 44656-2023 tillsynsbegäran mail.docx", "A 44656-2023")</f>
        <v/>
      </c>
      <c r="Z46">
        <f>HYPERLINK("https://klasma.github.io/Logging_2034/fåglar/A 44656-2023 prioriterade fågelarter.docx", "A 44656-2023")</f>
        <v/>
      </c>
    </row>
    <row r="47" ht="15" customHeight="1">
      <c r="A47" t="inlineStr">
        <is>
          <t>A 6029-2024</t>
        </is>
      </c>
      <c r="B47" s="1" t="n">
        <v>45336</v>
      </c>
      <c r="C47" s="1" t="n">
        <v>45576</v>
      </c>
      <c r="D47" t="inlineStr">
        <is>
          <t>DALARNAS LÄN</t>
        </is>
      </c>
      <c r="E47" t="inlineStr">
        <is>
          <t>ORSA</t>
        </is>
      </c>
      <c r="F47" t="inlineStr">
        <is>
          <t>Kommuner</t>
        </is>
      </c>
      <c r="G47" t="n">
        <v>0.8</v>
      </c>
      <c r="H47" t="n">
        <v>0</v>
      </c>
      <c r="I47" t="n">
        <v>2</v>
      </c>
      <c r="J47" t="n">
        <v>0</v>
      </c>
      <c r="K47" t="n">
        <v>0</v>
      </c>
      <c r="L47" t="n">
        <v>0</v>
      </c>
      <c r="M47" t="n">
        <v>0</v>
      </c>
      <c r="N47" t="n">
        <v>0</v>
      </c>
      <c r="O47" t="n">
        <v>0</v>
      </c>
      <c r="P47" t="n">
        <v>0</v>
      </c>
      <c r="Q47" t="n">
        <v>2</v>
      </c>
      <c r="R47" s="2" t="inlineStr">
        <is>
          <t>Svart trolldruva
Svavelriska</t>
        </is>
      </c>
      <c r="S47">
        <f>HYPERLINK("https://klasma.github.io/Logging_2034/artfynd/A 6029-2024 artfynd.xlsx", "A 6029-2024")</f>
        <v/>
      </c>
      <c r="T47">
        <f>HYPERLINK("https://klasma.github.io/Logging_2034/kartor/A 6029-2024 karta.png", "A 6029-2024")</f>
        <v/>
      </c>
      <c r="V47">
        <f>HYPERLINK("https://klasma.github.io/Logging_2034/klagomål/A 6029-2024 FSC-klagomål.docx", "A 6029-2024")</f>
        <v/>
      </c>
      <c r="W47">
        <f>HYPERLINK("https://klasma.github.io/Logging_2034/klagomålsmail/A 6029-2024 FSC-klagomål mail.docx", "A 6029-2024")</f>
        <v/>
      </c>
      <c r="X47">
        <f>HYPERLINK("https://klasma.github.io/Logging_2034/tillsyn/A 6029-2024 tillsynsbegäran.docx", "A 6029-2024")</f>
        <v/>
      </c>
      <c r="Y47">
        <f>HYPERLINK("https://klasma.github.io/Logging_2034/tillsynsmail/A 6029-2024 tillsynsbegäran mail.docx", "A 6029-2024")</f>
        <v/>
      </c>
    </row>
    <row r="48" ht="15" customHeight="1">
      <c r="A48" t="inlineStr">
        <is>
          <t>A 38211-2020</t>
        </is>
      </c>
      <c r="B48" s="1" t="n">
        <v>44060</v>
      </c>
      <c r="C48" s="1" t="n">
        <v>45576</v>
      </c>
      <c r="D48" t="inlineStr">
        <is>
          <t>DALARNAS LÄN</t>
        </is>
      </c>
      <c r="E48" t="inlineStr">
        <is>
          <t>ORSA</t>
        </is>
      </c>
      <c r="G48" t="n">
        <v>1.2</v>
      </c>
      <c r="H48" t="n">
        <v>1</v>
      </c>
      <c r="I48" t="n">
        <v>0</v>
      </c>
      <c r="J48" t="n">
        <v>1</v>
      </c>
      <c r="K48" t="n">
        <v>0</v>
      </c>
      <c r="L48" t="n">
        <v>0</v>
      </c>
      <c r="M48" t="n">
        <v>0</v>
      </c>
      <c r="N48" t="n">
        <v>0</v>
      </c>
      <c r="O48" t="n">
        <v>1</v>
      </c>
      <c r="P48" t="n">
        <v>0</v>
      </c>
      <c r="Q48" t="n">
        <v>1</v>
      </c>
      <c r="R48" s="2" t="inlineStr">
        <is>
          <t>Utter</t>
        </is>
      </c>
      <c r="S48">
        <f>HYPERLINK("https://klasma.github.io/Logging_2034/artfynd/A 38211-2020 artfynd.xlsx", "A 38211-2020")</f>
        <v/>
      </c>
      <c r="T48">
        <f>HYPERLINK("https://klasma.github.io/Logging_2034/kartor/A 38211-2020 karta.png", "A 38211-2020")</f>
        <v/>
      </c>
      <c r="V48">
        <f>HYPERLINK("https://klasma.github.io/Logging_2034/klagomål/A 38211-2020 FSC-klagomål.docx", "A 38211-2020")</f>
        <v/>
      </c>
      <c r="W48">
        <f>HYPERLINK("https://klasma.github.io/Logging_2034/klagomålsmail/A 38211-2020 FSC-klagomål mail.docx", "A 38211-2020")</f>
        <v/>
      </c>
      <c r="X48">
        <f>HYPERLINK("https://klasma.github.io/Logging_2034/tillsyn/A 38211-2020 tillsynsbegäran.docx", "A 38211-2020")</f>
        <v/>
      </c>
      <c r="Y48">
        <f>HYPERLINK("https://klasma.github.io/Logging_2034/tillsynsmail/A 38211-2020 tillsynsbegäran mail.docx", "A 38211-2020")</f>
        <v/>
      </c>
    </row>
    <row r="49" ht="15" customHeight="1">
      <c r="A49" t="inlineStr">
        <is>
          <t>A 4144-2022</t>
        </is>
      </c>
      <c r="B49" s="1" t="n">
        <v>44588</v>
      </c>
      <c r="C49" s="1" t="n">
        <v>45576</v>
      </c>
      <c r="D49" t="inlineStr">
        <is>
          <t>DALARNAS LÄN</t>
        </is>
      </c>
      <c r="E49" t="inlineStr">
        <is>
          <t>ORSA</t>
        </is>
      </c>
      <c r="G49" t="n">
        <v>1</v>
      </c>
      <c r="H49" t="n">
        <v>0</v>
      </c>
      <c r="I49" t="n">
        <v>1</v>
      </c>
      <c r="J49" t="n">
        <v>0</v>
      </c>
      <c r="K49" t="n">
        <v>0</v>
      </c>
      <c r="L49" t="n">
        <v>0</v>
      </c>
      <c r="M49" t="n">
        <v>0</v>
      </c>
      <c r="N49" t="n">
        <v>0</v>
      </c>
      <c r="O49" t="n">
        <v>0</v>
      </c>
      <c r="P49" t="n">
        <v>0</v>
      </c>
      <c r="Q49" t="n">
        <v>1</v>
      </c>
      <c r="R49" s="2" t="inlineStr">
        <is>
          <t>Svart trolldruva</t>
        </is>
      </c>
      <c r="S49">
        <f>HYPERLINK("https://klasma.github.io/Logging_2034/artfynd/A 4144-2022 artfynd.xlsx", "A 4144-2022")</f>
        <v/>
      </c>
      <c r="T49">
        <f>HYPERLINK("https://klasma.github.io/Logging_2034/kartor/A 4144-2022 karta.png", "A 4144-2022")</f>
        <v/>
      </c>
      <c r="V49">
        <f>HYPERLINK("https://klasma.github.io/Logging_2034/klagomål/A 4144-2022 FSC-klagomål.docx", "A 4144-2022")</f>
        <v/>
      </c>
      <c r="W49">
        <f>HYPERLINK("https://klasma.github.io/Logging_2034/klagomålsmail/A 4144-2022 FSC-klagomål mail.docx", "A 4144-2022")</f>
        <v/>
      </c>
      <c r="X49">
        <f>HYPERLINK("https://klasma.github.io/Logging_2034/tillsyn/A 4144-2022 tillsynsbegäran.docx", "A 4144-2022")</f>
        <v/>
      </c>
      <c r="Y49">
        <f>HYPERLINK("https://klasma.github.io/Logging_2034/tillsynsmail/A 4144-2022 tillsynsbegäran mail.docx", "A 4144-2022")</f>
        <v/>
      </c>
    </row>
    <row r="50" ht="15" customHeight="1">
      <c r="A50" t="inlineStr">
        <is>
          <t>A 48766-2022</t>
        </is>
      </c>
      <c r="B50" s="1" t="n">
        <v>44859</v>
      </c>
      <c r="C50" s="1" t="n">
        <v>45576</v>
      </c>
      <c r="D50" t="inlineStr">
        <is>
          <t>DALARNAS LÄN</t>
        </is>
      </c>
      <c r="E50" t="inlineStr">
        <is>
          <t>ORSA</t>
        </is>
      </c>
      <c r="F50" t="inlineStr">
        <is>
          <t>Allmännings- och besparingsskogar</t>
        </is>
      </c>
      <c r="G50" t="n">
        <v>3.1</v>
      </c>
      <c r="H50" t="n">
        <v>0</v>
      </c>
      <c r="I50" t="n">
        <v>0</v>
      </c>
      <c r="J50" t="n">
        <v>1</v>
      </c>
      <c r="K50" t="n">
        <v>0</v>
      </c>
      <c r="L50" t="n">
        <v>0</v>
      </c>
      <c r="M50" t="n">
        <v>0</v>
      </c>
      <c r="N50" t="n">
        <v>0</v>
      </c>
      <c r="O50" t="n">
        <v>1</v>
      </c>
      <c r="P50" t="n">
        <v>0</v>
      </c>
      <c r="Q50" t="n">
        <v>1</v>
      </c>
      <c r="R50" s="2" t="inlineStr">
        <is>
          <t>Garnlav</t>
        </is>
      </c>
      <c r="S50">
        <f>HYPERLINK("https://klasma.github.io/Logging_2034/artfynd/A 48766-2022 artfynd.xlsx", "A 48766-2022")</f>
        <v/>
      </c>
      <c r="T50">
        <f>HYPERLINK("https://klasma.github.io/Logging_2034/kartor/A 48766-2022 karta.png", "A 48766-2022")</f>
        <v/>
      </c>
      <c r="V50">
        <f>HYPERLINK("https://klasma.github.io/Logging_2034/klagomål/A 48766-2022 FSC-klagomål.docx", "A 48766-2022")</f>
        <v/>
      </c>
      <c r="W50">
        <f>HYPERLINK("https://klasma.github.io/Logging_2034/klagomålsmail/A 48766-2022 FSC-klagomål mail.docx", "A 48766-2022")</f>
        <v/>
      </c>
      <c r="X50">
        <f>HYPERLINK("https://klasma.github.io/Logging_2034/tillsyn/A 48766-2022 tillsynsbegäran.docx", "A 48766-2022")</f>
        <v/>
      </c>
      <c r="Y50">
        <f>HYPERLINK("https://klasma.github.io/Logging_2034/tillsynsmail/A 48766-2022 tillsynsbegäran mail.docx", "A 48766-2022")</f>
        <v/>
      </c>
    </row>
    <row r="51" ht="15" customHeight="1">
      <c r="A51" t="inlineStr">
        <is>
          <t>A 29044-2023</t>
        </is>
      </c>
      <c r="B51" s="1" t="n">
        <v>45104</v>
      </c>
      <c r="C51" s="1" t="n">
        <v>45576</v>
      </c>
      <c r="D51" t="inlineStr">
        <is>
          <t>DALARNAS LÄN</t>
        </is>
      </c>
      <c r="E51" t="inlineStr">
        <is>
          <t>ORSA</t>
        </is>
      </c>
      <c r="G51" t="n">
        <v>1.8</v>
      </c>
      <c r="H51" t="n">
        <v>0</v>
      </c>
      <c r="I51" t="n">
        <v>1</v>
      </c>
      <c r="J51" t="n">
        <v>0</v>
      </c>
      <c r="K51" t="n">
        <v>0</v>
      </c>
      <c r="L51" t="n">
        <v>0</v>
      </c>
      <c r="M51" t="n">
        <v>0</v>
      </c>
      <c r="N51" t="n">
        <v>0</v>
      </c>
      <c r="O51" t="n">
        <v>0</v>
      </c>
      <c r="P51" t="n">
        <v>0</v>
      </c>
      <c r="Q51" t="n">
        <v>1</v>
      </c>
      <c r="R51" s="2" t="inlineStr">
        <is>
          <t>Korallblylav</t>
        </is>
      </c>
      <c r="S51">
        <f>HYPERLINK("https://klasma.github.io/Logging_2034/artfynd/A 29044-2023 artfynd.xlsx", "A 29044-2023")</f>
        <v/>
      </c>
      <c r="T51">
        <f>HYPERLINK("https://klasma.github.io/Logging_2034/kartor/A 29044-2023 karta.png", "A 29044-2023")</f>
        <v/>
      </c>
      <c r="V51">
        <f>HYPERLINK("https://klasma.github.io/Logging_2034/klagomål/A 29044-2023 FSC-klagomål.docx", "A 29044-2023")</f>
        <v/>
      </c>
      <c r="W51">
        <f>HYPERLINK("https://klasma.github.io/Logging_2034/klagomålsmail/A 29044-2023 FSC-klagomål mail.docx", "A 29044-2023")</f>
        <v/>
      </c>
      <c r="X51">
        <f>HYPERLINK("https://klasma.github.io/Logging_2034/tillsyn/A 29044-2023 tillsynsbegäran.docx", "A 29044-2023")</f>
        <v/>
      </c>
      <c r="Y51">
        <f>HYPERLINK("https://klasma.github.io/Logging_2034/tillsynsmail/A 29044-2023 tillsynsbegäran mail.docx", "A 29044-2023")</f>
        <v/>
      </c>
    </row>
    <row r="52" ht="15" customHeight="1">
      <c r="A52" t="inlineStr">
        <is>
          <t>A 35112-2023</t>
        </is>
      </c>
      <c r="B52" s="1" t="n">
        <v>45145</v>
      </c>
      <c r="C52" s="1" t="n">
        <v>45576</v>
      </c>
      <c r="D52" t="inlineStr">
        <is>
          <t>DALARNAS LÄN</t>
        </is>
      </c>
      <c r="E52" t="inlineStr">
        <is>
          <t>ORSA</t>
        </is>
      </c>
      <c r="F52" t="inlineStr">
        <is>
          <t>Allmännings- och besparingsskogar</t>
        </is>
      </c>
      <c r="G52" t="n">
        <v>6.9</v>
      </c>
      <c r="H52" t="n">
        <v>0</v>
      </c>
      <c r="I52" t="n">
        <v>0</v>
      </c>
      <c r="J52" t="n">
        <v>1</v>
      </c>
      <c r="K52" t="n">
        <v>0</v>
      </c>
      <c r="L52" t="n">
        <v>0</v>
      </c>
      <c r="M52" t="n">
        <v>0</v>
      </c>
      <c r="N52" t="n">
        <v>0</v>
      </c>
      <c r="O52" t="n">
        <v>1</v>
      </c>
      <c r="P52" t="n">
        <v>0</v>
      </c>
      <c r="Q52" t="n">
        <v>1</v>
      </c>
      <c r="R52" s="2" t="inlineStr">
        <is>
          <t>Skrovellav</t>
        </is>
      </c>
      <c r="S52">
        <f>HYPERLINK("https://klasma.github.io/Logging_2034/artfynd/A 35112-2023 artfynd.xlsx", "A 35112-2023")</f>
        <v/>
      </c>
      <c r="T52">
        <f>HYPERLINK("https://klasma.github.io/Logging_2034/kartor/A 35112-2023 karta.png", "A 35112-2023")</f>
        <v/>
      </c>
      <c r="V52">
        <f>HYPERLINK("https://klasma.github.io/Logging_2034/klagomål/A 35112-2023 FSC-klagomål.docx", "A 35112-2023")</f>
        <v/>
      </c>
      <c r="W52">
        <f>HYPERLINK("https://klasma.github.io/Logging_2034/klagomålsmail/A 35112-2023 FSC-klagomål mail.docx", "A 35112-2023")</f>
        <v/>
      </c>
      <c r="X52">
        <f>HYPERLINK("https://klasma.github.io/Logging_2034/tillsyn/A 35112-2023 tillsynsbegäran.docx", "A 35112-2023")</f>
        <v/>
      </c>
      <c r="Y52">
        <f>HYPERLINK("https://klasma.github.io/Logging_2034/tillsynsmail/A 35112-2023 tillsynsbegäran mail.docx", "A 35112-2023")</f>
        <v/>
      </c>
    </row>
    <row r="53" ht="15" customHeight="1">
      <c r="A53" t="inlineStr">
        <is>
          <t>A 37887-2023</t>
        </is>
      </c>
      <c r="B53" s="1" t="n">
        <v>45160</v>
      </c>
      <c r="C53" s="1" t="n">
        <v>45576</v>
      </c>
      <c r="D53" t="inlineStr">
        <is>
          <t>DALARNAS LÄN</t>
        </is>
      </c>
      <c r="E53" t="inlineStr">
        <is>
          <t>ORSA</t>
        </is>
      </c>
      <c r="F53" t="inlineStr">
        <is>
          <t>Allmännings- och besparingsskogar</t>
        </is>
      </c>
      <c r="G53" t="n">
        <v>20.5</v>
      </c>
      <c r="H53" t="n">
        <v>1</v>
      </c>
      <c r="I53" t="n">
        <v>0</v>
      </c>
      <c r="J53" t="n">
        <v>1</v>
      </c>
      <c r="K53" t="n">
        <v>0</v>
      </c>
      <c r="L53" t="n">
        <v>0</v>
      </c>
      <c r="M53" t="n">
        <v>0</v>
      </c>
      <c r="N53" t="n">
        <v>0</v>
      </c>
      <c r="O53" t="n">
        <v>1</v>
      </c>
      <c r="P53" t="n">
        <v>0</v>
      </c>
      <c r="Q53" t="n">
        <v>1</v>
      </c>
      <c r="R53" s="2" t="inlineStr">
        <is>
          <t>Varglav</t>
        </is>
      </c>
      <c r="S53">
        <f>HYPERLINK("https://klasma.github.io/Logging_2034/artfynd/A 37887-2023 artfynd.xlsx", "A 37887-2023")</f>
        <v/>
      </c>
      <c r="T53">
        <f>HYPERLINK("https://klasma.github.io/Logging_2034/kartor/A 37887-2023 karta.png", "A 37887-2023")</f>
        <v/>
      </c>
      <c r="V53">
        <f>HYPERLINK("https://klasma.github.io/Logging_2034/klagomål/A 37887-2023 FSC-klagomål.docx", "A 37887-2023")</f>
        <v/>
      </c>
      <c r="W53">
        <f>HYPERLINK("https://klasma.github.io/Logging_2034/klagomålsmail/A 37887-2023 FSC-klagomål mail.docx", "A 37887-2023")</f>
        <v/>
      </c>
      <c r="X53">
        <f>HYPERLINK("https://klasma.github.io/Logging_2034/tillsyn/A 37887-2023 tillsynsbegäran.docx", "A 37887-2023")</f>
        <v/>
      </c>
      <c r="Y53">
        <f>HYPERLINK("https://klasma.github.io/Logging_2034/tillsynsmail/A 37887-2023 tillsynsbegäran mail.docx", "A 37887-2023")</f>
        <v/>
      </c>
    </row>
    <row r="54" ht="15" customHeight="1">
      <c r="A54" t="inlineStr">
        <is>
          <t>A 40288-2023</t>
        </is>
      </c>
      <c r="B54" s="1" t="n">
        <v>45169</v>
      </c>
      <c r="C54" s="1" t="n">
        <v>45576</v>
      </c>
      <c r="D54" t="inlineStr">
        <is>
          <t>DALARNAS LÄN</t>
        </is>
      </c>
      <c r="E54" t="inlineStr">
        <is>
          <t>ORSA</t>
        </is>
      </c>
      <c r="F54" t="inlineStr">
        <is>
          <t>Allmännings- och besparingsskogar</t>
        </is>
      </c>
      <c r="G54" t="n">
        <v>4.2</v>
      </c>
      <c r="H54" t="n">
        <v>0</v>
      </c>
      <c r="I54" t="n">
        <v>0</v>
      </c>
      <c r="J54" t="n">
        <v>1</v>
      </c>
      <c r="K54" t="n">
        <v>0</v>
      </c>
      <c r="L54" t="n">
        <v>0</v>
      </c>
      <c r="M54" t="n">
        <v>0</v>
      </c>
      <c r="N54" t="n">
        <v>0</v>
      </c>
      <c r="O54" t="n">
        <v>1</v>
      </c>
      <c r="P54" t="n">
        <v>0</v>
      </c>
      <c r="Q54" t="n">
        <v>1</v>
      </c>
      <c r="R54" s="2" t="inlineStr">
        <is>
          <t>Vedflamlav</t>
        </is>
      </c>
      <c r="S54">
        <f>HYPERLINK("https://klasma.github.io/Logging_2034/artfynd/A 40288-2023 artfynd.xlsx", "A 40288-2023")</f>
        <v/>
      </c>
      <c r="T54">
        <f>HYPERLINK("https://klasma.github.io/Logging_2034/kartor/A 40288-2023 karta.png", "A 40288-2023")</f>
        <v/>
      </c>
      <c r="V54">
        <f>HYPERLINK("https://klasma.github.io/Logging_2034/klagomål/A 40288-2023 FSC-klagomål.docx", "A 40288-2023")</f>
        <v/>
      </c>
      <c r="W54">
        <f>HYPERLINK("https://klasma.github.io/Logging_2034/klagomålsmail/A 40288-2023 FSC-klagomål mail.docx", "A 40288-2023")</f>
        <v/>
      </c>
      <c r="X54">
        <f>HYPERLINK("https://klasma.github.io/Logging_2034/tillsyn/A 40288-2023 tillsynsbegäran.docx", "A 40288-2023")</f>
        <v/>
      </c>
      <c r="Y54">
        <f>HYPERLINK("https://klasma.github.io/Logging_2034/tillsynsmail/A 40288-2023 tillsynsbegäran mail.docx", "A 40288-2023")</f>
        <v/>
      </c>
    </row>
    <row r="55" ht="15" customHeight="1">
      <c r="A55" t="inlineStr">
        <is>
          <t>A 46179-2023</t>
        </is>
      </c>
      <c r="B55" s="1" t="n">
        <v>45196</v>
      </c>
      <c r="C55" s="1" t="n">
        <v>45576</v>
      </c>
      <c r="D55" t="inlineStr">
        <is>
          <t>DALARNAS LÄN</t>
        </is>
      </c>
      <c r="E55" t="inlineStr">
        <is>
          <t>ORSA</t>
        </is>
      </c>
      <c r="G55" t="n">
        <v>4.1</v>
      </c>
      <c r="H55" t="n">
        <v>0</v>
      </c>
      <c r="I55" t="n">
        <v>1</v>
      </c>
      <c r="J55" t="n">
        <v>0</v>
      </c>
      <c r="K55" t="n">
        <v>0</v>
      </c>
      <c r="L55" t="n">
        <v>0</v>
      </c>
      <c r="M55" t="n">
        <v>0</v>
      </c>
      <c r="N55" t="n">
        <v>0</v>
      </c>
      <c r="O55" t="n">
        <v>0</v>
      </c>
      <c r="P55" t="n">
        <v>0</v>
      </c>
      <c r="Q55" t="n">
        <v>1</v>
      </c>
      <c r="R55" s="2" t="inlineStr">
        <is>
          <t>Dropptaggsvamp</t>
        </is>
      </c>
      <c r="S55">
        <f>HYPERLINK("https://klasma.github.io/Logging_2034/artfynd/A 46179-2023 artfynd.xlsx", "A 46179-2023")</f>
        <v/>
      </c>
      <c r="T55">
        <f>HYPERLINK("https://klasma.github.io/Logging_2034/kartor/A 46179-2023 karta.png", "A 46179-2023")</f>
        <v/>
      </c>
      <c r="V55">
        <f>HYPERLINK("https://klasma.github.io/Logging_2034/klagomål/A 46179-2023 FSC-klagomål.docx", "A 46179-2023")</f>
        <v/>
      </c>
      <c r="W55">
        <f>HYPERLINK("https://klasma.github.io/Logging_2034/klagomålsmail/A 46179-2023 FSC-klagomål mail.docx", "A 46179-2023")</f>
        <v/>
      </c>
      <c r="X55">
        <f>HYPERLINK("https://klasma.github.io/Logging_2034/tillsyn/A 46179-2023 tillsynsbegäran.docx", "A 46179-2023")</f>
        <v/>
      </c>
      <c r="Y55">
        <f>HYPERLINK("https://klasma.github.io/Logging_2034/tillsynsmail/A 46179-2023 tillsynsbegäran mail.docx", "A 46179-2023")</f>
        <v/>
      </c>
    </row>
    <row r="56" ht="15" customHeight="1">
      <c r="A56" t="inlineStr">
        <is>
          <t>A 48452-2023</t>
        </is>
      </c>
      <c r="B56" s="1" t="n">
        <v>45206</v>
      </c>
      <c r="C56" s="1" t="n">
        <v>45576</v>
      </c>
      <c r="D56" t="inlineStr">
        <is>
          <t>DALARNAS LÄN</t>
        </is>
      </c>
      <c r="E56" t="inlineStr">
        <is>
          <t>ORSA</t>
        </is>
      </c>
      <c r="G56" t="n">
        <v>1.5</v>
      </c>
      <c r="H56" t="n">
        <v>0</v>
      </c>
      <c r="I56" t="n">
        <v>0</v>
      </c>
      <c r="J56" t="n">
        <v>1</v>
      </c>
      <c r="K56" t="n">
        <v>0</v>
      </c>
      <c r="L56" t="n">
        <v>0</v>
      </c>
      <c r="M56" t="n">
        <v>0</v>
      </c>
      <c r="N56" t="n">
        <v>0</v>
      </c>
      <c r="O56" t="n">
        <v>1</v>
      </c>
      <c r="P56" t="n">
        <v>0</v>
      </c>
      <c r="Q56" t="n">
        <v>1</v>
      </c>
      <c r="R56" s="2" t="inlineStr">
        <is>
          <t>Motaggsvamp</t>
        </is>
      </c>
      <c r="S56">
        <f>HYPERLINK("https://klasma.github.io/Logging_2034/artfynd/A 48452-2023 artfynd.xlsx", "A 48452-2023")</f>
        <v/>
      </c>
      <c r="T56">
        <f>HYPERLINK("https://klasma.github.io/Logging_2034/kartor/A 48452-2023 karta.png", "A 48452-2023")</f>
        <v/>
      </c>
      <c r="V56">
        <f>HYPERLINK("https://klasma.github.io/Logging_2034/klagomål/A 48452-2023 FSC-klagomål.docx", "A 48452-2023")</f>
        <v/>
      </c>
      <c r="W56">
        <f>HYPERLINK("https://klasma.github.io/Logging_2034/klagomålsmail/A 48452-2023 FSC-klagomål mail.docx", "A 48452-2023")</f>
        <v/>
      </c>
      <c r="X56">
        <f>HYPERLINK("https://klasma.github.io/Logging_2034/tillsyn/A 48452-2023 tillsynsbegäran.docx", "A 48452-2023")</f>
        <v/>
      </c>
      <c r="Y56">
        <f>HYPERLINK("https://klasma.github.io/Logging_2034/tillsynsmail/A 48452-2023 tillsynsbegäran mail.docx", "A 48452-2023")</f>
        <v/>
      </c>
    </row>
    <row r="57" ht="15" customHeight="1">
      <c r="A57" t="inlineStr">
        <is>
          <t>A 49515-2023</t>
        </is>
      </c>
      <c r="B57" s="1" t="n">
        <v>45211</v>
      </c>
      <c r="C57" s="1" t="n">
        <v>45576</v>
      </c>
      <c r="D57" t="inlineStr">
        <is>
          <t>DALARNAS LÄN</t>
        </is>
      </c>
      <c r="E57" t="inlineStr">
        <is>
          <t>ORSA</t>
        </is>
      </c>
      <c r="F57" t="inlineStr">
        <is>
          <t>Allmännings- och besparingsskogar</t>
        </is>
      </c>
      <c r="G57" t="n">
        <v>17.5</v>
      </c>
      <c r="H57" t="n">
        <v>0</v>
      </c>
      <c r="I57" t="n">
        <v>1</v>
      </c>
      <c r="J57" t="n">
        <v>0</v>
      </c>
      <c r="K57" t="n">
        <v>0</v>
      </c>
      <c r="L57" t="n">
        <v>0</v>
      </c>
      <c r="M57" t="n">
        <v>0</v>
      </c>
      <c r="N57" t="n">
        <v>0</v>
      </c>
      <c r="O57" t="n">
        <v>0</v>
      </c>
      <c r="P57" t="n">
        <v>0</v>
      </c>
      <c r="Q57" t="n">
        <v>1</v>
      </c>
      <c r="R57" s="2" t="inlineStr">
        <is>
          <t>Skarp dropptaggsvamp</t>
        </is>
      </c>
      <c r="S57">
        <f>HYPERLINK("https://klasma.github.io/Logging_2034/artfynd/A 49515-2023 artfynd.xlsx", "A 49515-2023")</f>
        <v/>
      </c>
      <c r="T57">
        <f>HYPERLINK("https://klasma.github.io/Logging_2034/kartor/A 49515-2023 karta.png", "A 49515-2023")</f>
        <v/>
      </c>
      <c r="V57">
        <f>HYPERLINK("https://klasma.github.io/Logging_2034/klagomål/A 49515-2023 FSC-klagomål.docx", "A 49515-2023")</f>
        <v/>
      </c>
      <c r="W57">
        <f>HYPERLINK("https://klasma.github.io/Logging_2034/klagomålsmail/A 49515-2023 FSC-klagomål mail.docx", "A 49515-2023")</f>
        <v/>
      </c>
      <c r="X57">
        <f>HYPERLINK("https://klasma.github.io/Logging_2034/tillsyn/A 49515-2023 tillsynsbegäran.docx", "A 49515-2023")</f>
        <v/>
      </c>
      <c r="Y57">
        <f>HYPERLINK("https://klasma.github.io/Logging_2034/tillsynsmail/A 49515-2023 tillsynsbegäran mail.docx", "A 49515-2023")</f>
        <v/>
      </c>
    </row>
    <row r="58" ht="15" customHeight="1">
      <c r="A58" t="inlineStr">
        <is>
          <t>A 30493-2024</t>
        </is>
      </c>
      <c r="B58" s="1" t="n">
        <v>45492</v>
      </c>
      <c r="C58" s="1" t="n">
        <v>45576</v>
      </c>
      <c r="D58" t="inlineStr">
        <is>
          <t>DALARNAS LÄN</t>
        </is>
      </c>
      <c r="E58" t="inlineStr">
        <is>
          <t>ORSA</t>
        </is>
      </c>
      <c r="F58" t="inlineStr">
        <is>
          <t>Övriga statliga verk och myndigheter</t>
        </is>
      </c>
      <c r="G58" t="n">
        <v>2.2</v>
      </c>
      <c r="H58" t="n">
        <v>0</v>
      </c>
      <c r="I58" t="n">
        <v>0</v>
      </c>
      <c r="J58" t="n">
        <v>1</v>
      </c>
      <c r="K58" t="n">
        <v>0</v>
      </c>
      <c r="L58" t="n">
        <v>0</v>
      </c>
      <c r="M58" t="n">
        <v>0</v>
      </c>
      <c r="N58" t="n">
        <v>0</v>
      </c>
      <c r="O58" t="n">
        <v>1</v>
      </c>
      <c r="P58" t="n">
        <v>0</v>
      </c>
      <c r="Q58" t="n">
        <v>1</v>
      </c>
      <c r="R58" s="2" t="inlineStr">
        <is>
          <t>Garnlav</t>
        </is>
      </c>
      <c r="S58">
        <f>HYPERLINK("https://klasma.github.io/Logging_2034/artfynd/A 30493-2024 artfynd.xlsx", "A 30493-2024")</f>
        <v/>
      </c>
      <c r="T58">
        <f>HYPERLINK("https://klasma.github.io/Logging_2034/kartor/A 30493-2024 karta.png", "A 30493-2024")</f>
        <v/>
      </c>
      <c r="V58">
        <f>HYPERLINK("https://klasma.github.io/Logging_2034/klagomål/A 30493-2024 FSC-klagomål.docx", "A 30493-2024")</f>
        <v/>
      </c>
      <c r="W58">
        <f>HYPERLINK("https://klasma.github.io/Logging_2034/klagomålsmail/A 30493-2024 FSC-klagomål mail.docx", "A 30493-2024")</f>
        <v/>
      </c>
      <c r="X58">
        <f>HYPERLINK("https://klasma.github.io/Logging_2034/tillsyn/A 30493-2024 tillsynsbegäran.docx", "A 30493-2024")</f>
        <v/>
      </c>
      <c r="Y58">
        <f>HYPERLINK("https://klasma.github.io/Logging_2034/tillsynsmail/A 30493-2024 tillsynsbegäran mail.docx", "A 30493-2024")</f>
        <v/>
      </c>
    </row>
    <row r="59" ht="15" customHeight="1">
      <c r="A59" t="inlineStr">
        <is>
          <t>A 43588-2024</t>
        </is>
      </c>
      <c r="B59" s="1" t="n">
        <v>45569</v>
      </c>
      <c r="C59" s="1" t="n">
        <v>45576</v>
      </c>
      <c r="D59" t="inlineStr">
        <is>
          <t>DALARNAS LÄN</t>
        </is>
      </c>
      <c r="E59" t="inlineStr">
        <is>
          <t>ORSA</t>
        </is>
      </c>
      <c r="G59" t="n">
        <v>6.4</v>
      </c>
      <c r="H59" t="n">
        <v>0</v>
      </c>
      <c r="I59" t="n">
        <v>1</v>
      </c>
      <c r="J59" t="n">
        <v>0</v>
      </c>
      <c r="K59" t="n">
        <v>0</v>
      </c>
      <c r="L59" t="n">
        <v>0</v>
      </c>
      <c r="M59" t="n">
        <v>0</v>
      </c>
      <c r="N59" t="n">
        <v>0</v>
      </c>
      <c r="O59" t="n">
        <v>0</v>
      </c>
      <c r="P59" t="n">
        <v>0</v>
      </c>
      <c r="Q59" t="n">
        <v>1</v>
      </c>
      <c r="R59" s="2" t="inlineStr">
        <is>
          <t>Thymalus limbatus</t>
        </is>
      </c>
      <c r="S59">
        <f>HYPERLINK("https://klasma.github.io/Logging_2034/artfynd/A 43588-2024 artfynd.xlsx", "A 43588-2024")</f>
        <v/>
      </c>
      <c r="T59">
        <f>HYPERLINK("https://klasma.github.io/Logging_2034/kartor/A 43588-2024 karta.png", "A 43588-2024")</f>
        <v/>
      </c>
      <c r="V59">
        <f>HYPERLINK("https://klasma.github.io/Logging_2034/klagomål/A 43588-2024 FSC-klagomål.docx", "A 43588-2024")</f>
        <v/>
      </c>
      <c r="W59">
        <f>HYPERLINK("https://klasma.github.io/Logging_2034/klagomålsmail/A 43588-2024 FSC-klagomål mail.docx", "A 43588-2024")</f>
        <v/>
      </c>
      <c r="X59">
        <f>HYPERLINK("https://klasma.github.io/Logging_2034/tillsyn/A 43588-2024 tillsynsbegäran.docx", "A 43588-2024")</f>
        <v/>
      </c>
      <c r="Y59">
        <f>HYPERLINK("https://klasma.github.io/Logging_2034/tillsynsmail/A 43588-2024 tillsynsbegäran mail.docx", "A 43588-2024")</f>
        <v/>
      </c>
    </row>
    <row r="60" ht="15" customHeight="1">
      <c r="A60" t="inlineStr">
        <is>
          <t>A 26119-2019</t>
        </is>
      </c>
      <c r="B60" s="1" t="n">
        <v>43609</v>
      </c>
      <c r="C60" s="1" t="n">
        <v>45576</v>
      </c>
      <c r="D60" t="inlineStr">
        <is>
          <t>DALARNAS LÄN</t>
        </is>
      </c>
      <c r="E60" t="inlineStr">
        <is>
          <t>ORSA</t>
        </is>
      </c>
      <c r="F60" t="inlineStr">
        <is>
          <t>Allmännings- och besparingsskogar</t>
        </is>
      </c>
      <c r="G60" t="n">
        <v>4.7</v>
      </c>
      <c r="H60" t="n">
        <v>0</v>
      </c>
      <c r="I60" t="n">
        <v>0</v>
      </c>
      <c r="J60" t="n">
        <v>0</v>
      </c>
      <c r="K60" t="n">
        <v>0</v>
      </c>
      <c r="L60" t="n">
        <v>0</v>
      </c>
      <c r="M60" t="n">
        <v>0</v>
      </c>
      <c r="N60" t="n">
        <v>0</v>
      </c>
      <c r="O60" t="n">
        <v>0</v>
      </c>
      <c r="P60" t="n">
        <v>0</v>
      </c>
      <c r="Q60" t="n">
        <v>0</v>
      </c>
      <c r="R60" s="2" t="inlineStr"/>
    </row>
    <row r="61" ht="15" customHeight="1">
      <c r="A61" t="inlineStr">
        <is>
          <t>A 27655-2019</t>
        </is>
      </c>
      <c r="B61" s="1" t="n">
        <v>43619</v>
      </c>
      <c r="C61" s="1" t="n">
        <v>45576</v>
      </c>
      <c r="D61" t="inlineStr">
        <is>
          <t>DALARNAS LÄN</t>
        </is>
      </c>
      <c r="E61" t="inlineStr">
        <is>
          <t>ORSA</t>
        </is>
      </c>
      <c r="F61" t="inlineStr">
        <is>
          <t>Bergvik skog öst AB</t>
        </is>
      </c>
      <c r="G61" t="n">
        <v>26.9</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45576</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45576</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45576</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45576</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45576</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45576</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45576</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45576</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45576</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45576</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45576</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45576</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45576</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45576</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45576</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45576</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45576</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45576</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45576</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45576</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45576</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45576</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45576</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45576</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45576</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45576</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45576</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45576</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45576</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45576</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45576</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45576</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45576</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45576</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45576</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45576</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45576</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45576</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45576</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45576</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45576</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45576</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45576</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45576</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45576</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45576</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45576</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45576</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45576</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45576</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45576</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45576</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45576</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45576</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45576</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45576</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45576</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45576</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45576</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45576</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45576</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45576</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45576</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45576</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45576</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45576</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45576</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45576</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45576</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45576</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45576</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45576</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45576</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45576</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45576</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45576</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45576</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45576</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45576</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45576</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45576</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45576</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45576</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45576</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45576</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45576</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45576</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45576</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45576</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45576</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45576</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45576</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45576</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45576</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45576</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45576</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45576</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45576</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45576</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45576</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45576</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45576</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45576</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45576</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45576</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45576</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45576</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45576</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45576</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45576</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45576</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45576</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45576</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45576</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45576</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45576</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45576</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45576</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45576</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45576</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45576</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45576</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45576</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45576</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45576</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45576</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45576</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45576</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45576</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45576</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45576</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45576</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45576</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45576</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45576</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45576</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45576</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45576</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45576</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45576</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45576</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45576</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45576</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45576</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45576</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45576</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45576</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45576</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45576</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45576</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45576</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45576</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45576</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45576</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45576</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45576</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45576</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45576</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45576</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45576</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45576</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45576</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45576</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45576</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45576</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45576</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45576</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45576</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45576</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45576</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45576</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45576</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45576</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45576</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45576</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45576</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45576</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45576</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45576</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45576</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45576</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45576</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45576</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45576</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45576</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45576</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45576</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45576</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45576</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45576</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45576</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45576</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45576</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45576</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45576</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45576</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45576</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45576</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45576</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45576</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45576</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45576</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45576</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45576</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45576</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45576</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45576</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45576</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45576</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45576</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45576</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45576</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45576</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45576</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45576</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45576</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45576</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45576</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45576</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45576</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45576</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45576</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45576</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45576</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45576</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45576</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45576</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45576</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45576</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45576</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45576</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45576</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45576</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45576</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45576</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45576</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45576</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45576</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45576</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45576</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45576</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45576</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45576</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45576</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45576</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45576</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45576</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45576</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45576</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45576</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45576</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45576</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45576</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45576</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45576</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45576</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45576</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45576</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45576</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45576</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45576</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45576</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45576</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45576</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45576</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45576</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45576</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45576</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45576</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45576</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45576</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45576</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45576</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45576</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45576</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45576</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45576</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45576</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45576</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45576</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45576</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45576</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45576</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45576</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45576</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45576</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45576</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45576</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45576</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45576</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45576</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45576</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45576</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45576</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45576</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45576</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45576</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45576</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45576</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45576</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45576</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45576</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45576</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45576</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45576</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45576</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45576</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45576</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45576</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45576</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45576</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45576</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45576</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45576</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45576</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45576</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45576</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45576</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45576</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45576</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45576</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45576</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45576</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45576</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45576</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45576</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45576</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45576</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45576</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45576</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45576</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45576</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45576</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45576</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45576</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45576</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45576</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45576</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45576</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45576</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45576</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45576</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45576</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45576</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45576</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45576</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45576</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45576</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45576</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45576</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45576</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45576</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45576</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45576</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45576</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45576</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45576</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45576</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45576</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45576</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45576</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45576</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45576</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45576</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45576</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45576</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45576</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45576</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45576</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45576</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45576</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45576</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45576</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45576</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45576</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45576</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45576</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45576</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45576</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45576</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45576</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45576</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45576</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45576</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45576</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45576</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45576</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45576</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45576</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45576</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45576</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45576</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45576</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45576</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45576</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45576</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45576</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45576</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45576</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45576</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45576</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45576</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45576</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45576</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45576</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45576</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45576</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45576</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45576</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45576</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45576</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45576</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45576</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45576</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45576</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45576</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45576</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45576</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45576</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45576</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45576</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45576</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45576</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45576</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45576</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45576</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45576</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45576</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45576</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45576</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45576</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45576</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45576</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45576</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45576</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45576</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45576</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45576</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45576</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45576</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45576</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45576</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45576</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45576</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45576</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45576</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45576</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45576</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45576</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45576</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45576</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45576</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45576</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45576</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45576</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45576</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45576</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45576</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45576</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45576</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45576</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45576</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45576</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45576</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45576</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45576</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45576</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45576</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45576</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45576</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45576</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45576</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45576</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45576</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45576</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45576</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45576</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45576</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45576</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45576</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45576</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45576</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45576</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45576</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45576</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45576</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45576</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45576</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45576</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45576</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45576</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45576</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45576</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45576</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45576</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45576</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45576</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45576</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45576</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45576</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45576</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45576</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45576</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45576</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45576</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45576</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45576</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45576</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45576</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45576</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45576</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45576</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45576</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45576</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45576</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45576</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45576</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45576</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45576</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45576</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45576</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45576</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45576</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45576</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45576</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45576</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45576</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45576</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45576</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45576</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45576</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45576</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45576</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45576</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45576</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45576</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45576</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45576</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45576</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45576</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45576</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45576</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45576</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45576</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45576</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45576</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45576</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45576</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45576</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45576</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45576</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45576</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45576</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45576</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45576</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45576</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45576</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45576</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45576</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45576</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45576</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45576</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45576</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45576</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45576</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45576</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45576</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45576</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45576</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45576</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45576</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45576</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45576</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45576</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45576</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45576</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45576</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45576</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45576</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45576</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39476-2024</t>
        </is>
      </c>
      <c r="B651" s="1" t="n">
        <v>45551</v>
      </c>
      <c r="C651" s="1" t="n">
        <v>45576</v>
      </c>
      <c r="D651" t="inlineStr">
        <is>
          <t>DALARNAS LÄN</t>
        </is>
      </c>
      <c r="E651" t="inlineStr">
        <is>
          <t>ORSA</t>
        </is>
      </c>
      <c r="F651" t="inlineStr">
        <is>
          <t>Bergvik skog öst AB</t>
        </is>
      </c>
      <c r="G651" t="n">
        <v>3</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45576</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45576</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41835-2024</t>
        </is>
      </c>
      <c r="B654" s="1" t="n">
        <v>45561</v>
      </c>
      <c r="C654" s="1" t="n">
        <v>45576</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41832-2024</t>
        </is>
      </c>
      <c r="B655" s="1" t="n">
        <v>45561</v>
      </c>
      <c r="C655" s="1" t="n">
        <v>45576</v>
      </c>
      <c r="D655" t="inlineStr">
        <is>
          <t>DALARNAS LÄN</t>
        </is>
      </c>
      <c r="E655" t="inlineStr">
        <is>
          <t>ORSA</t>
        </is>
      </c>
      <c r="G655" t="n">
        <v>0.5</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45576</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42517-2024</t>
        </is>
      </c>
      <c r="B657" s="1" t="n">
        <v>45565</v>
      </c>
      <c r="C657" s="1" t="n">
        <v>45576</v>
      </c>
      <c r="D657" t="inlineStr">
        <is>
          <t>DALARNAS LÄN</t>
        </is>
      </c>
      <c r="E657" t="inlineStr">
        <is>
          <t>ORSA</t>
        </is>
      </c>
      <c r="G657" t="n">
        <v>3</v>
      </c>
      <c r="H657" t="n">
        <v>0</v>
      </c>
      <c r="I657" t="n">
        <v>0</v>
      </c>
      <c r="J657" t="n">
        <v>0</v>
      </c>
      <c r="K657" t="n">
        <v>0</v>
      </c>
      <c r="L657" t="n">
        <v>0</v>
      </c>
      <c r="M657" t="n">
        <v>0</v>
      </c>
      <c r="N657" t="n">
        <v>0</v>
      </c>
      <c r="O657" t="n">
        <v>0</v>
      </c>
      <c r="P657" t="n">
        <v>0</v>
      </c>
      <c r="Q657" t="n">
        <v>0</v>
      </c>
      <c r="R657" s="2" t="inlineStr"/>
    </row>
    <row r="658" ht="15" customHeight="1">
      <c r="A658" t="inlineStr">
        <is>
          <t>A 42411-2024</t>
        </is>
      </c>
      <c r="B658" s="1" t="n">
        <v>45565</v>
      </c>
      <c r="C658" s="1" t="n">
        <v>45576</v>
      </c>
      <c r="D658" t="inlineStr">
        <is>
          <t>DALARNAS LÄN</t>
        </is>
      </c>
      <c r="E658" t="inlineStr">
        <is>
          <t>ORSA</t>
        </is>
      </c>
      <c r="G658" t="n">
        <v>1.5</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45576</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45576</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45576</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45020-2024</t>
        </is>
      </c>
      <c r="B662" s="1" t="n">
        <v>45575</v>
      </c>
      <c r="C662" s="1" t="n">
        <v>45576</v>
      </c>
      <c r="D662" t="inlineStr">
        <is>
          <t>DALARNAS LÄN</t>
        </is>
      </c>
      <c r="E662" t="inlineStr">
        <is>
          <t>ORSA</t>
        </is>
      </c>
      <c r="G662" t="n">
        <v>5.1</v>
      </c>
      <c r="H662" t="n">
        <v>0</v>
      </c>
      <c r="I662" t="n">
        <v>0</v>
      </c>
      <c r="J662" t="n">
        <v>0</v>
      </c>
      <c r="K662" t="n">
        <v>0</v>
      </c>
      <c r="L662" t="n">
        <v>0</v>
      </c>
      <c r="M662" t="n">
        <v>0</v>
      </c>
      <c r="N662" t="n">
        <v>0</v>
      </c>
      <c r="O662" t="n">
        <v>0</v>
      </c>
      <c r="P662" t="n">
        <v>0</v>
      </c>
      <c r="Q662" t="n">
        <v>0</v>
      </c>
      <c r="R662" s="2" t="inlineStr"/>
    </row>
    <row r="663" ht="15" customHeight="1">
      <c r="A663" t="inlineStr">
        <is>
          <t>A 45028-2024</t>
        </is>
      </c>
      <c r="B663" s="1" t="n">
        <v>45575</v>
      </c>
      <c r="C663" s="1" t="n">
        <v>45576</v>
      </c>
      <c r="D663" t="inlineStr">
        <is>
          <t>DALARNAS LÄN</t>
        </is>
      </c>
      <c r="E663" t="inlineStr">
        <is>
          <t>ORSA</t>
        </is>
      </c>
      <c r="G663" t="n">
        <v>2.4</v>
      </c>
      <c r="H663" t="n">
        <v>0</v>
      </c>
      <c r="I663" t="n">
        <v>0</v>
      </c>
      <c r="J663" t="n">
        <v>0</v>
      </c>
      <c r="K663" t="n">
        <v>0</v>
      </c>
      <c r="L663" t="n">
        <v>0</v>
      </c>
      <c r="M663" t="n">
        <v>0</v>
      </c>
      <c r="N663" t="n">
        <v>0</v>
      </c>
      <c r="O663" t="n">
        <v>0</v>
      </c>
      <c r="P663" t="n">
        <v>0</v>
      </c>
      <c r="Q663" t="n">
        <v>0</v>
      </c>
      <c r="R663" s="2" t="inlineStr"/>
    </row>
    <row r="664" ht="15" customHeight="1">
      <c r="A664" t="inlineStr">
        <is>
          <t>A 45096-2024</t>
        </is>
      </c>
      <c r="B664" s="1" t="n">
        <v>45575</v>
      </c>
      <c r="C664" s="1" t="n">
        <v>45576</v>
      </c>
      <c r="D664" t="inlineStr">
        <is>
          <t>DALARNAS LÄN</t>
        </is>
      </c>
      <c r="E664" t="inlineStr">
        <is>
          <t>ORSA</t>
        </is>
      </c>
      <c r="G664" t="n">
        <v>13.4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45576</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c r="A666" t="inlineStr">
        <is>
          <t>A 44909-2024</t>
        </is>
      </c>
      <c r="B666" s="1" t="n">
        <v>45575</v>
      </c>
      <c r="C666" s="1" t="n">
        <v>45576</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2024-10-11T13:01:41Z</dcterms:created>
  <dcterms:modified xmlns:dcterms="http://purl.org/dc/terms/" xmlns:xsi="http://www.w3.org/2001/XMLSchema-instance" xsi:type="dcterms:W3CDTF">2024-10-11T13:01:42Z</dcterms:modified>
</cp:coreProperties>
</file>